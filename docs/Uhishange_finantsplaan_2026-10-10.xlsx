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8b2dfd9fd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ae9ef73de53842ee"/>
    <x:sheet xmlns:r="http://schemas.openxmlformats.org/officeDocument/2006/relationships" name="Unit Economics" sheetId="2" r:id="Rff27e0d3bd4848c0"/>
    <x:sheet xmlns:r="http://schemas.openxmlformats.org/officeDocument/2006/relationships" name="3Y Plan" sheetId="3" r:id="R3d862cccb3eb4bc8"/>
    <x:sheet xmlns:r="http://schemas.openxmlformats.org/officeDocument/2006/relationships" name="Pricing Scenarios" sheetId="4" r:id="Rdfd8a7f0ba634fa4"/>
    <x:sheet xmlns:r="http://schemas.openxmlformats.org/officeDocument/2006/relationships" name="Y1 Monthly" sheetId="5" r:id="R56220213715246a7"/>
    <x:sheet xmlns:r="http://schemas.openxmlformats.org/officeDocument/2006/relationships" name="Dashboard" sheetId="6" r:id="R22f499607c7e4fb2"/>
    <x:sheet xmlns:r="http://schemas.openxmlformats.org/officeDocument/2006/relationships" name="Sources" sheetId="7" r:id="Rc078fc35c658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#,##0.00;[Red](#,##0.00);-"/>
    <x:numFmt numFmtId="202" formatCode="#,##0;[Red](#,##0);-"/>
    <x:numFmt numFmtId="203" formatCode="@"/>
    <x:numFmt numFmtId="204" formatCode="0.0x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8"/>
      <x:color rgb="FFFFFFFF"/>
      <x:name val="Carlito"/>
    </x:font>
    <x:font>
      <x:b/>
      <x:sz val="14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4">
    <x:border/>
    <x:border/>
    <x:border>
      <x:top style="thin">
        <x:color rgb="FF17324D"/>
      </x:top>
    </x:border>
    <x:border>
      <x:top style="thin">
        <x:color rgb="FF17324D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201" fontId="3" fillId="5" borderId="0" xfId="0" applyNumberFormat="1" applyFont="1" applyFill="1" applyBorder="1"/>
    <x:xf numFmtId="201" fontId="3" fillId="5" borderId="1" xfId="0" applyNumberFormat="1" applyFont="1" applyFill="1" applyBorder="1"/>
    <x:xf numFmtId="202" fontId="3" fillId="5" borderId="0" xfId="0" applyNumberFormat="1" applyFont="1" applyFill="1" applyBorder="1"/>
    <x:xf numFmtId="202" fontId="3" fillId="5" borderId="1" xfId="0" applyNumberFormat="1" applyFont="1" applyFill="1" applyBorder="1"/>
    <x:xf numFmtId="203" fontId="3" fillId="5" borderId="0" xfId="0" applyNumberFormat="1" applyFont="1" applyFill="1" applyBorder="1"/>
    <x:xf numFmtId="203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0" fillId="0" borderId="2" xfId="0" applyNumberFormat="1" applyFont="1" applyFill="1" applyBorder="1"/>
    <x:xf numFmtId="202" fontId="4" fillId="0" borderId="2" xfId="0" applyNumberFormat="1" applyFont="1" applyFill="1" applyBorder="1"/>
    <x:xf numFmtId="0" fontId="0" fillId="0" borderId="3" xfId="0" applyNumberFormat="1" applyFont="1" applyFill="1" applyBorder="1"/>
    <x:xf numFmtId="202" fontId="4" fillId="0" borderId="3" xfId="0" applyNumberFormat="1" applyFont="1" applyFill="1" applyBorder="1"/>
    <x:xf numFmtId="0" fontId="5" fillId="0" borderId="2" xfId="0" applyNumberFormat="1" applyFont="1" applyFill="1" applyBorder="1"/>
    <x:xf numFmtId="202" fontId="6" fillId="0" borderId="2" xfId="0" applyNumberFormat="1" applyFont="1" applyFill="1" applyBorder="1"/>
    <x:xf numFmtId="0" fontId="5" fillId="0" borderId="3" xfId="0" applyNumberFormat="1" applyFont="1" applyFill="1" applyBorder="1"/>
    <x:xf numFmtId="202" fontId="6" fillId="0" borderId="3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2" fontId="7" fillId="0" borderId="2" xfId="0" applyNumberFormat="1" applyFont="1" applyFill="1" applyBorder="1"/>
    <x:xf numFmtId="202" fontId="7" fillId="0" borderId="3" xfId="0" applyNumberFormat="1" applyFont="1" applyFill="1" applyBorder="1"/>
    <x:xf numFmtId="202" fontId="8" fillId="0" borderId="2" xfId="0" applyNumberFormat="1" applyFont="1" applyFill="1" applyBorder="1"/>
    <x:xf numFmtId="202" fontId="8" fillId="0" borderId="3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200" fontId="6" fillId="0" borderId="2" xfId="0" applyNumberFormat="1" applyFont="1" applyFill="1" applyBorder="1"/>
    <x:xf numFmtId="200" fontId="6" fillId="0" borderId="3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/>
    </x:xf>
    <x:xf numFmtId="201" fontId="10" fillId="6" borderId="0" xfId="0" applyNumberFormat="1" applyFont="1" applyFill="1" applyBorder="1" applyAlignment="1">
      <x:alignment horizontal="center" vertical="center"/>
    </x:xf>
    <x:xf numFmtId="201" fontId="10" fillId="6" borderId="1" xfId="0" applyNumberFormat="1" applyFont="1" applyFill="1" applyBorder="1" applyAlignment="1">
      <x:alignment horizontal="center" vertical="center"/>
    </x:xf>
    <x:xf numFmtId="202" fontId="10" fillId="6" borderId="0" xfId="0" applyNumberFormat="1" applyFont="1" applyFill="1" applyBorder="1" applyAlignment="1">
      <x:alignment horizontal="center" vertical="center"/>
    </x:xf>
    <x:xf numFmtId="202" fontId="10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202" fontId="3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201" fontId="3" fillId="5" borderId="1" xfId="0" applyNumberFormat="1" applyFont="1" applyFill="1" applyBorder="1" applyAlignment="1">
      <x:alignment vertical="center"/>
    </x:xf>
    <x:xf numFmtId="200" fontId="3" fillId="5" borderId="1" xfId="0" applyNumberFormat="1" applyFont="1" applyFill="1" applyBorder="1" applyAlignment="1">
      <x:alignment vertical="center"/>
    </x:xf>
    <x:xf numFmtId="202" fontId="3" fillId="5" borderId="1" xfId="0" applyNumberFormat="1" applyFont="1" applyFill="1" applyBorder="1" applyAlignment="1">
      <x:alignment vertical="center"/>
    </x:xf>
    <x:xf numFmtId="203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4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2" fontId="8" fillId="0" borderId="2" xfId="0" applyNumberFormat="1" applyFont="1" applyFill="1" applyBorder="1" applyAlignment="1">
      <x:alignment vertical="center"/>
    </x:xf>
    <x:xf numFmtId="202" fontId="8" fillId="0" borderId="3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19a304e2046cb" /><Relationship Type="http://schemas.openxmlformats.org/officeDocument/2006/relationships/theme" Target="/xl/theme/theme1.xml" Id="R340381cf08264a66" /><Relationship Type="http://schemas.openxmlformats.org/officeDocument/2006/relationships/sharedStrings" Target="/xl/sharedStrings.xml" Id="R66c8623c2c3f418b" /><Relationship Type="http://schemas.openxmlformats.org/officeDocument/2006/relationships/worksheet" Target="/xl/worksheets/sheet1.xml" Id="Rae9ef73de53842ee" /><Relationship Type="http://schemas.openxmlformats.org/officeDocument/2006/relationships/worksheet" Target="/xl/worksheets/sheet2.xml" Id="Rff27e0d3bd4848c0" /><Relationship Type="http://schemas.openxmlformats.org/officeDocument/2006/relationships/worksheet" Target="/xl/worksheets/sheet3.xml" Id="R3d862cccb3eb4bc8" /><Relationship Type="http://schemas.openxmlformats.org/officeDocument/2006/relationships/worksheet" Target="/xl/worksheets/sheet4.xml" Id="Rdfd8a7f0ba634fa4" /><Relationship Type="http://schemas.openxmlformats.org/officeDocument/2006/relationships/worksheet" Target="/xl/worksheets/sheet5.xml" Id="R56220213715246a7" /><Relationship Type="http://schemas.openxmlformats.org/officeDocument/2006/relationships/worksheet" Target="/xl/worksheets/sheet6.xml" Id="R22f499607c7e4fb2" /><Relationship Type="http://schemas.openxmlformats.org/officeDocument/2006/relationships/worksheet" Target="/xl/worksheets/sheet7.xml" Id="Rc078fc35c65841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b09bec9ecf4ec2" /><Relationship Type="http://schemas.openxmlformats.org/officeDocument/2006/relationships/chart" Target="/xl/drawings/charts/chart2.xml" Id="R92288b91674a44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 aasta plaan: maht ja finantsnäitajad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Aasta 1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'Dashboard'!$B$10:$B$15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Aasta 2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'Dashboard'!$C$10:$C$15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Aasta 3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'Dashboard'!$D$10:$D$15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Hinnastusmudelite break-even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Kate / osalus</c:v>
          </c:tx>
          <c:cat>
            <c:strRef>
              <c:f>'Dashboard'!$F$10:$F$12</c:f>
              <c:strCache>
                <c:ptCount val="0"/>
              </c:strCache>
            </c:strRef>
          </c:cat>
          <c:val>
            <c:numRef>
              <c:f>'Dashboard'!$G$10:$G$12</c:f>
              <c:numCache>
                <c:formatCode>#,##0.00;[Red](#,##0.00);-</c:formatCode>
                <c:ptCount val="0"/>
              </c:numCache>
            </c:numRef>
          </c:val>
        </c:ser>
        <c:ser>
          <c:idx val="1"/>
          <c:order val="1"/>
          <c:tx>
            <c:v>A1 BE</c:v>
          </c:tx>
          <c:cat>
            <c:strRef>
              <c:f>'Dashboard'!$F$10:$F$12</c:f>
              <c:strCache>
                <c:ptCount val="0"/>
              </c:strCache>
            </c:strRef>
          </c:cat>
          <c:val>
            <c:numRef>
              <c:f>'Dashboard'!$H$10:$H$12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A2 BE</c:v>
          </c:tx>
          <c:cat>
            <c:strRef>
              <c:f>'Dashboard'!$F$10:$F$12</c:f>
              <c:strCache>
                <c:ptCount val="0"/>
              </c:strCache>
            </c:strRef>
          </c:cat>
          <c:val>
            <c:numRef>
              <c:f>'Dashboard'!$I$10:$I$12</c:f>
              <c:numCache>
                <c:formatCode>#,##0;[Red](#,##0);-</c:formatCode>
                <c:ptCount val="0"/>
              </c:numCache>
            </c:numRef>
          </c:val>
        </c:ser>
        <c:ser>
          <c:idx val="3"/>
          <c:order val="3"/>
          <c:tx>
            <c:v>A3 BE</c:v>
          </c:tx>
          <c:cat>
            <c:strRef>
              <c:f>'Dashboard'!$F$10:$F$12</c:f>
              <c:strCache>
                <c:ptCount val="0"/>
              </c:strCache>
            </c:strRef>
          </c:cat>
          <c:val>
            <c:numRef>
              <c:f>'Dashboard'!$J$10:$J$12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5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b09bec9ecf4ec2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288b91674a44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f0f04f90585460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88" t="str">
        <x:v>ÜHISHANGE – FINANTSPLAANI EELDUSED</x:v>
      </x:c>
      <x:c r="B1" s="88"/>
      <x:c r="C1" s="88"/>
      <x:c r="D1" s="88"/>
      <x:c r="E1" s="88"/>
      <x:c r="F1" s="88"/>
      <x:c r="G1" s="88"/>
      <x:c r="H1" s="88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90" t="str">
        <x:v>Sinised lahtrid = muudetavad eeldused. Mudel eristab praeguse 10% käsiraha-tasu tariifi ja jätkusuutlikumaid hinnastusvariante.</x:v>
      </x:c>
      <x:c r="B2" s="90"/>
      <x:c r="C2" s="90"/>
      <x:c r="D2" s="90"/>
      <x:c r="E2" s="90"/>
      <x:c r="F2" s="90"/>
      <x:c r="G2" s="90"/>
      <x:c r="H2" s="90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89"/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 ht="22" customHeight="1">
      <x:c r="A4" s="12" t="str">
        <x:v>1. Tehingu ja maksete eeldused</x:v>
      </x:c>
      <x:c r="B4" s="12"/>
      <x:c r="C4" s="12"/>
      <x:c r="D4" s="12"/>
      <x:c r="E4" s="12"/>
      <x:c r="F4" s="12"/>
      <x:c r="G4" s="12"/>
      <x:c r="H4" s="12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22" t="str">
        <x:v>Eeldus</x:v>
      </x:c>
      <x:c r="B5" s="22" t="str">
        <x:v>Väärtus</x:v>
      </x:c>
      <x:c r="C5" s="22" t="str">
        <x:v>Ühik</x:v>
      </x:c>
      <x:c r="D5" s="22" t="str">
        <x:v>Allikas / staatus</x:v>
      </x:c>
      <x:c r="E5" s="22" t="str">
        <x:v>Märkus</x:v>
      </x:c>
      <x:c r="F5" s="22" t="str"/>
      <x:c r="G5" s="22" t="str"/>
      <x:c r="H5" s="22" t="str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Keskmine käsiraha</x:v>
      </x:c>
      <x:c r="B6" s="91" t="n">
        <x:v>100</x:v>
      </x:c>
      <x:c r="C6" s="89" t="str">
        <x:v>€ / osalus</x:v>
      </x:c>
      <x:c r="D6" s="89" t="str">
        <x:v>ADR 0006 / kasutaja materjal</x:v>
      </x:c>
      <x:c r="E6" s="89" t="str">
        <x:v>Praeguse tariifi baasnäide</x:v>
      </x:c>
      <x:c r="F6" s="89" t="str"/>
      <x:c r="G6" s="89" t="str"/>
      <x:c r="H6" s="89" t="str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Platvormitasu käsirahast</x:v>
      </x:c>
      <x:c r="B7" s="92" t="n">
        <x:v>0.1</x:v>
      </x:c>
      <x:c r="C7" s="89" t="str">
        <x:v>%</x:v>
      </x:c>
      <x:c r="D7" s="89" t="str">
        <x:v>ADR 0006</x:v>
      </x:c>
      <x:c r="E7" s="89" t="str">
        <x:v>10% säilinud brutokäsirahast</x:v>
      </x:c>
      <x:c r="F7" s="89" t="str"/>
      <x:c r="G7" s="89" t="str"/>
      <x:c r="H7" s="89" t="str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KM määr</x:v>
      </x:c>
      <x:c r="B8" s="92" t="n">
        <x:v>0.24</x:v>
      </x:c>
      <x:c r="C8" s="89" t="str">
        <x:v>%</x:v>
      </x:c>
      <x:c r="D8" s="89" t="str">
        <x:v>EMTA / kasutaja materjal</x:v>
      </x:c>
      <x:c r="E8" s="89" t="str">
        <x:v>Mudelis eeldatakse, et tasu sisaldab KM-i</x:v>
      </x:c>
      <x:c r="F8" s="89" t="str"/>
      <x:c r="G8" s="89" t="str"/>
      <x:c r="H8" s="89" t="str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PSP muutuv tasu</x:v>
      </x:c>
      <x:c r="B9" s="91" t="n">
        <x:v>0.015</x:v>
      </x:c>
      <x:c r="C9" s="89" t="str">
        <x:v>%</x:v>
      </x:c>
      <x:c r="D9" s="89" t="str">
        <x:v>Stripe standard EEA</x:v>
      </x:c>
      <x:c r="E9" s="89" t="str">
        <x:v>Premium/business-kaardid võivad olla kallimad</x:v>
      </x:c>
      <x:c r="F9" s="89" t="str"/>
      <x:c r="G9" s="89" t="str"/>
      <x:c r="H9" s="89" t="str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PSP fikseeritud tasu</x:v>
      </x:c>
      <x:c r="B10" s="92" t="n">
        <x:v>0.25</x:v>
      </x:c>
      <x:c r="C10" s="89" t="str">
        <x:v>€ / capture</x:v>
      </x:c>
      <x:c r="D10" s="89" t="str">
        <x:v>Stripe standard EEA</x:v>
      </x:c>
      <x:c r="E10" s="89" t="str">
        <x:v>Capture-kulu ei tagastata refund'i korral</x:v>
      </x:c>
      <x:c r="F10" s="89" t="str"/>
      <x:c r="G10" s="89" t="str"/>
      <x:c r="H10" s="89" t="str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Refund / ebaõnnestunud capture määr</x:v>
      </x:c>
      <x:c r="B11" s="92" t="n">
        <x:v>0.2</x:v>
      </x:c>
      <x:c r="C11" s="89" t="str">
        <x:v>% captures</x:v>
      </x:c>
      <x:c r="D11" s="89" t="str">
        <x:v>Planeerimisstsenaarium</x:v>
      </x:c>
      <x:c r="E11" s="89" t="str">
        <x:v>Kasutaja materjalis kasutatud tundlikkus</x:v>
      </x:c>
      <x:c r="F11" s="89" t="str"/>
      <x:c r="G11" s="89" t="str"/>
      <x:c r="H11" s="89" t="str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Keskmine teenuslepingu väärtus</x:v>
      </x:c>
      <x:c r="B12" s="93" t="n">
        <x:v>1500</x:v>
      </x:c>
      <x:c r="C12" s="89" t="str">
        <x:v>€ / säilinud osalus</x:v>
      </x:c>
      <x:c r="D12" s="89" t="str">
        <x:v>Planeerimiseeldus</x:v>
      </x:c>
      <x:c r="E12" s="89" t="str">
        <x:v>Ei mõjuta praeguse tariifi tulu; vajalik GMV mudelitele</x:v>
      </x:c>
      <x:c r="F12" s="89" t="str"/>
      <x:c r="G12" s="89" t="str"/>
      <x:c r="H12" s="89" t="str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Keskmine osalejate arv edukas grupis</x:v>
      </x:c>
      <x:c r="B13" s="93" t="n">
        <x:v>5</x:v>
      </x:c>
      <x:c r="C13" s="89" t="str">
        <x:v>KÜ / grupp</x:v>
      </x:c>
      <x:c r="D13" s="89" t="str">
        <x:v>Planeerimiseeldus</x:v>
      </x:c>
      <x:c r="E13" s="89" t="str">
        <x:v>Kasutatakse edukate gruppide arvu tuletamiseks</x:v>
      </x:c>
      <x:c r="F13" s="89" t="str"/>
      <x:c r="G13" s="89" t="str"/>
      <x:c r="H13" s="89" t="str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Algne rahajääk</x:v>
      </x:c>
      <x:c r="B14" s="93" t="n">
        <x:v>10000</x:v>
      </x:c>
      <x:c r="C14" s="89" t="str">
        <x:v>€</x:v>
      </x:c>
      <x:c r="D14" s="89" t="str">
        <x:v>Planeerimiseeldus</x:v>
      </x:c>
      <x:c r="E14" s="89" t="str">
        <x:v>Muuda vastavalt tegelikule stardikapitalile</x:v>
      </x:c>
      <x:c r="F14" s="89" t="str"/>
      <x:c r="G14" s="89" t="str"/>
      <x:c r="H14" s="89" t="str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Valitud mahustsenaarium</x:v>
      </x:c>
      <x:c r="B15" s="94" t="str">
        <x:v>Base</x:v>
      </x:c>
      <x:c r="C15" s="89" t="str"/>
      <x:c r="D15" s="89" t="str">
        <x:v>Planeerimiseeldus</x:v>
      </x:c>
      <x:c r="E15" s="89" t="str">
        <x:v>Conservative / Base / Growth</x:v>
      </x:c>
      <x:c r="F15" s="89" t="str"/>
      <x:c r="G15" s="89" t="str"/>
      <x:c r="H15" s="89" t="str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>
        <x:v>Valitud hinnastusmudel</x:v>
      </x:c>
      <x:c r="B16" s="94" t="str">
        <x:v>Current 10% deposit</x:v>
      </x:c>
      <x:c r="C16" s="89" t="str"/>
      <x:c r="D16" s="89" t="str">
        <x:v>Kehtiv ADR / stsenaarium</x:v>
      </x:c>
      <x:c r="E16" s="89" t="str">
        <x:v>Current 10% deposit / Hybrid +3% GMV / 4% GMV</x:v>
      </x:c>
      <x:c r="F16" s="89" t="str"/>
      <x:c r="G16" s="89" t="str"/>
      <x:c r="H16" s="89" t="str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 ht="22" customHeight="1">
      <x:c r="A18" s="12" t="str">
        <x:v>2. Mahustsenaariumid – säilinud osalused</x:v>
      </x:c>
      <x:c r="B18" s="12"/>
      <x:c r="C18" s="12"/>
      <x:c r="D18" s="12"/>
      <x:c r="E18" s="12"/>
      <x:c r="F18" s="12"/>
      <x:c r="G18" s="12"/>
      <x:c r="H18" s="12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22" t="str">
        <x:v>Stsenaarium</x:v>
      </x:c>
      <x:c r="B19" s="22" t="str">
        <x:v>Aasta 1</x:v>
      </x:c>
      <x:c r="C19" s="22" t="str">
        <x:v>Aasta 2</x:v>
      </x:c>
      <x:c r="D19" s="22" t="str">
        <x:v>Aasta 3</x:v>
      </x:c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 t="str">
        <x:v>Conservative</x:v>
      </x:c>
      <x:c r="B20" s="93" t="n">
        <x:v>250</x:v>
      </x:c>
      <x:c r="C20" s="93" t="n">
        <x:v>700</x:v>
      </x:c>
      <x:c r="D20" s="93" t="n">
        <x:v>1500</x:v>
      </x:c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 t="str">
        <x:v>Base</x:v>
      </x:c>
      <x:c r="B21" s="93" t="n">
        <x:v>500</x:v>
      </x:c>
      <x:c r="C21" s="93" t="n">
        <x:v>1500</x:v>
      </x:c>
      <x:c r="D21" s="93" t="n">
        <x:v>3500</x:v>
      </x:c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 t="str">
        <x:v>Growth</x:v>
      </x:c>
      <x:c r="B22" s="93" t="n">
        <x:v>800</x:v>
      </x:c>
      <x:c r="C22" s="93" t="n">
        <x:v>3000</x:v>
      </x:c>
      <x:c r="D22" s="93" t="n">
        <x:v>7500</x:v>
      </x:c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96" t="str">
        <x:v>Märkus</x:v>
      </x:c>
      <x:c r="B23" s="96" t="str">
        <x:v>Piloot / piiratud levik</x:v>
      </x:c>
      <x:c r="C23" s="96" t="str">
        <x:v>Kordusost + uus piirkond</x:v>
      </x:c>
      <x:c r="D23" s="96" t="str">
        <x:v>Mitme teenuse ja piirkonna skaleerimine</x:v>
      </x:c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 ht="22" customHeight="1">
      <x:c r="A25" s="12" t="str">
        <x:v>3. Rahalised tegevuskulud – baasplaan</x:v>
      </x:c>
      <x:c r="B25" s="12"/>
      <x:c r="C25" s="12"/>
      <x:c r="D25" s="12"/>
      <x:c r="E25" s="12"/>
      <x:c r="F25" s="12"/>
      <x:c r="G25" s="12"/>
      <x:c r="H25" s="12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22" t="str">
        <x:v>Kuluartikkel</x:v>
      </x:c>
      <x:c r="B26" s="22" t="str">
        <x:v>Aasta 1</x:v>
      </x:c>
      <x:c r="C26" s="22" t="str">
        <x:v>Aasta 2</x:v>
      </x:c>
      <x:c r="D26" s="22" t="str">
        <x:v>Aasta 3</x:v>
      </x:c>
      <x:c r="E26" s="22" t="str">
        <x:v>Kommentaar</x:v>
      </x:c>
      <x:c r="F26" s="22" t="str"/>
      <x:c r="G26" s="22" t="str"/>
      <x:c r="H26" s="22" t="str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 t="str">
        <x:v>Hosting / infrastruktuur</x:v>
      </x:c>
      <x:c r="B27" s="93" t="n">
        <x:v>1200</x:v>
      </x:c>
      <x:c r="C27" s="93" t="n">
        <x:v>2400</x:v>
      </x:c>
      <x:c r="D27" s="93" t="n">
        <x:v>4800</x:v>
      </x:c>
      <x:c r="E27" s="89" t="str">
        <x:v>Server, backup, domeen, monitooring</x:v>
      </x:c>
      <x:c r="F27" s="89" t="str"/>
      <x:c r="G27" s="89" t="str"/>
      <x:c r="H27" s="89" t="str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 t="str">
        <x:v>Tarkvara / SaaS</x:v>
      </x:c>
      <x:c r="B28" s="93" t="n">
        <x:v>1200</x:v>
      </x:c>
      <x:c r="C28" s="93" t="n">
        <x:v>1800</x:v>
      </x:c>
      <x:c r="D28" s="93" t="n">
        <x:v>3000</x:v>
      </x:c>
      <x:c r="E28" s="89" t="str">
        <x:v>E-post, analüütika, admin-tööriistad jm</x:v>
      </x:c>
      <x:c r="F28" s="89" t="str"/>
      <x:c r="G28" s="89" t="str"/>
      <x:c r="H28" s="89" t="str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 t="str">
        <x:v>Raamatupidamine / admin</x:v>
      </x:c>
      <x:c r="B29" s="93" t="n">
        <x:v>1800</x:v>
      </x:c>
      <x:c r="C29" s="93" t="n">
        <x:v>2400</x:v>
      </x:c>
      <x:c r="D29" s="93" t="n">
        <x:v>3600</x:v>
      </x:c>
      <x:c r="E29" s="89" t="str">
        <x:v>Kasvab tehingumahuga</x:v>
      </x:c>
      <x:c r="F29" s="89" t="str"/>
      <x:c r="G29" s="89" t="str"/>
      <x:c r="H29" s="89" t="str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 t="str">
        <x:v>Õigus / compliance</x:v>
      </x:c>
      <x:c r="B30" s="93" t="n">
        <x:v>5000</x:v>
      </x:c>
      <x:c r="C30" s="93" t="n">
        <x:v>3000</x:v>
      </x:c>
      <x:c r="D30" s="93" t="n">
        <x:v>3000</x:v>
      </x:c>
      <x:c r="E30" s="89" t="str">
        <x:v>Lepingud, PSP/DAC7/GDPR kontrollid</x:v>
      </x:c>
      <x:c r="F30" s="89" t="str"/>
      <x:c r="G30" s="89" t="str"/>
      <x:c r="H30" s="89" t="str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 t="str">
        <x:v>Turundus / kliendihange</x:v>
      </x:c>
      <x:c r="B31" s="93" t="n">
        <x:v>6000</x:v>
      </x:c>
      <x:c r="C31" s="93" t="n">
        <x:v>18000</x:v>
      </x:c>
      <x:c r="D31" s="93" t="n">
        <x:v>36000</x:v>
      </x:c>
      <x:c r="E31" s="89" t="str">
        <x:v>KÜ outreach, partnerid, kampaaniad</x:v>
      </x:c>
      <x:c r="F31" s="89" t="str"/>
      <x:c r="G31" s="89" t="str"/>
      <x:c r="H31" s="89" t="str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 t="str">
        <x:v>Asutaja / toode / arendus</x:v>
      </x:c>
      <x:c r="B32" s="93" t="n">
        <x:v>12000</x:v>
      </x:c>
      <x:c r="C32" s="93" t="n">
        <x:v>30000</x:v>
      </x:c>
      <x:c r="D32" s="93" t="n">
        <x:v>48000</x:v>
      </x:c>
      <x:c r="E32" s="89" t="str">
        <x:v>Rahaline kompensatsioon; sweat equity korral vähendatav</x:v>
      </x:c>
      <x:c r="F32" s="89" t="str"/>
      <x:c r="G32" s="89" t="str"/>
      <x:c r="H32" s="89" t="str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 t="str">
        <x:v>Müük / klienditugi</x:v>
      </x:c>
      <x:c r="B33" s="93" t="n">
        <x:v>0</x:v>
      </x:c>
      <x:c r="C33" s="93" t="n">
        <x:v>18000</x:v>
      </x:c>
      <x:c r="D33" s="93" t="n">
        <x:v>36000</x:v>
      </x:c>
      <x:c r="E33" s="89" t="str">
        <x:v>A1 asutaja poolt; hiljem eraldi ressurss</x:v>
      </x:c>
      <x:c r="F33" s="89" t="str"/>
      <x:c r="G33" s="89" t="str"/>
      <x:c r="H33" s="89" t="str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 t="str">
        <x:v>Kindlustus / muu reserv</x:v>
      </x:c>
      <x:c r="B34" s="93" t="n">
        <x:v>1200</x:v>
      </x:c>
      <x:c r="C34" s="93" t="n">
        <x:v>1800</x:v>
      </x:c>
      <x:c r="D34" s="93" t="n">
        <x:v>2400</x:v>
      </x:c>
      <x:c r="E34" s="89" t="str">
        <x:v>Üldine riskivaru</x:v>
      </x:c>
      <x:c r="F34" s="89" t="str"/>
      <x:c r="G34" s="89" t="str"/>
      <x:c r="H34" s="89" t="str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97" t="str">
        <x:v>KOKKU</x:v>
      </x:c>
      <x:c r="B35" s="98" t="n">
        <x:f>SUM(B27:B34)</x:f>
        <x:v>28400</x:v>
      </x:c>
      <x:c r="C35" s="98" t="n">
        <x:f>SUM(C27:C34)</x:f>
        <x:v>77400</x:v>
      </x:c>
      <x:c r="D35" s="98" t="n">
        <x:f>SUM(D27:D34)</x:f>
        <x:v>136800</x:v>
      </x:c>
      <x:c r="E35" s="89" t="str"/>
      <x:c r="F35" s="89" t="str"/>
      <x:c r="G35" s="89" t="str"/>
      <x:c r="H35" s="89" t="str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 ht="22" customHeight="1">
      <x:c r="A37" s="12" t="str">
        <x:v>4. Alternatiivsete hinnastusmudelite eeldused</x:v>
      </x:c>
      <x:c r="B37" s="12"/>
      <x:c r="C37" s="12"/>
      <x:c r="D37" s="12"/>
      <x:c r="E37" s="12"/>
      <x:c r="F37" s="12"/>
      <x:c r="G37" s="12"/>
      <x:c r="H37" s="12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22" t="str">
        <x:v>Mudel</x:v>
      </x:c>
      <x:c r="B38" s="22" t="str">
        <x:v>Käsiraha tasu</x:v>
      </x:c>
      <x:c r="C38" s="22" t="str">
        <x:v>GMV edukustasu</x:v>
      </x:c>
      <x:c r="D38" s="22" t="str">
        <x:v>Staatus</x:v>
      </x:c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 t="str">
        <x:v>Current 10% deposit</x:v>
      </x:c>
      <x:c r="B39" s="92" t="n">
        <x:v>0.1</x:v>
      </x:c>
      <x:c r="C39" s="92" t="n">
        <x:v>0</x:v>
      </x:c>
      <x:c r="D39" s="89" t="str">
        <x:v>Kehtiv ADR 0006</x:v>
      </x:c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 t="str">
        <x:v>Hybrid +3% GMV</x:v>
      </x:c>
      <x:c r="B40" s="92" t="n">
        <x:v>0.1</x:v>
      </x:c>
      <x:c r="C40" s="92" t="n">
        <x:v>0.03</x:v>
      </x:c>
      <x:c r="D40" s="89" t="str">
        <x:v>Finantsplaani stsenaarium</x:v>
      </x:c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 t="str">
        <x:v>4% GMV</x:v>
      </x:c>
      <x:c r="B41" s="92" t="n">
        <x:v>0</x:v>
      </x:c>
      <x:c r="C41" s="92" t="n">
        <x:v>0.04</x:v>
      </x:c>
      <x:c r="D41" s="89" t="str">
        <x:v>Ajalooline / võrdlusstsenaarium</x:v>
      </x:c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99" t="str">
        <x:v>Märkus</x:v>
      </x:c>
      <x:c r="B42" s="99" t="str">
        <x:v>Tasu protsendid on bruto ja eeldatakse KM-i sisaldavana.</x:v>
      </x:c>
      <x:c r="C42" s="99" t="str"/>
      <x:c r="D42" s="99" t="str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</x:sheetData>
  <x:mergeCells>
    <x:mergeCell ref="A1:H1"/>
    <x:mergeCell ref="A2:H2"/>
    <x:mergeCell ref="A4:H4"/>
    <x:mergeCell ref="A18:H18"/>
    <x:mergeCell ref="A25:H25"/>
    <x:mergeCell ref="A37:H37"/>
  </x:mergeCells>
  <x:dataValidations count="2">
    <x:dataValidation type="list" sqref="B14:B15">
      <x:formula1>"Conservative,Base,Growth"</x:formula1>
    </x:dataValidation>
    <x:dataValidation type="list" sqref="B16">
      <x:formula1>"Current 10% deposit,Hybrid +3% GMV,4% GMV"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2" hidden="0" customWidth="1"/>
  </x:cols>
  <x:sheetData>
    <x:row r="1">
      <x:c r="A1" s="88" t="str">
        <x:v>ÜHISHANGE – ÜHIKUMAJANDUS</x:v>
      </x:c>
      <x:c r="B1" s="88"/>
      <x:c r="C1" s="88"/>
      <x:c r="D1" s="88"/>
      <x:c r="E1" s="88"/>
      <x:c r="F1" s="88"/>
      <x:c r="G1" s="88"/>
      <x:c r="H1" s="88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 ht="22" customHeight="1">
      <x:c r="A3" s="12" t="str">
        <x:v>Praegune tariif – ühe säilinud osaluse majandus</x:v>
      </x:c>
      <x:c r="B3" s="12"/>
      <x:c r="C3" s="12"/>
      <x:c r="D3" s="12"/>
      <x:c r="E3" s="12"/>
      <x:c r="F3" s="12"/>
      <x:c r="G3" s="12"/>
      <x:c r="H3" s="12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22" t="str">
        <x:v>Näitaja</x:v>
      </x:c>
      <x:c r="B4" s="22" t="str">
        <x:v>Valem / väärtus</x:v>
      </x:c>
      <x:c r="C4" s="22" t="str">
        <x:v>Ühik</x:v>
      </x:c>
      <x:c r="D4" s="22" t="str">
        <x:v>Selgitus</x:v>
      </x:c>
      <x:c r="E4" s="89"/>
      <x:c r="F4" s="89"/>
      <x:c r="G4" s="89"/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Käsiraha</x:v>
      </x:c>
      <x:c r="B5" s="112" t="n">
        <x:f>Assumptions!B6</x:f>
        <x:v>100</x:v>
      </x:c>
      <x:c r="C5" s="89" t="str">
        <x:v>€</x:v>
      </x:c>
      <x:c r="D5" s="89" t="str">
        <x:v>Keskmine capture summa</x:v>
      </x:c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Bruto platvormitasu</x:v>
      </x:c>
      <x:c r="B6" s="112" t="n">
        <x:f>B5*Assumptions!B7</x:f>
        <x:v>10</x:v>
      </x:c>
      <x:c r="C6" s="89" t="str">
        <x:v>€</x:v>
      </x:c>
      <x:c r="D6" s="89" t="str">
        <x:v>10% säilinud käsirahast</x:v>
      </x:c>
      <x:c r="E6" s="89"/>
      <x:c r="F6" s="89"/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Netotulu ilma KM-ta</x:v>
      </x:c>
      <x:c r="B7" s="112" t="n">
        <x:f>B6/(1+Assumptions!B8)</x:f>
        <x:v>8.064516129032258</x:v>
      </x:c>
      <x:c r="C7" s="89" t="str">
        <x:v>€</x:v>
      </x:c>
      <x:c r="D7" s="89" t="str">
        <x:v>Brutotasu / 1,24</x:v>
      </x:c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PSP kulu ühe capture kohta</x:v>
      </x:c>
      <x:c r="B8" s="112" t="n">
        <x:f>B5*Assumptions!B9+Assumptions!B10</x:f>
        <x:v>1.75</x:v>
      </x:c>
      <x:c r="C8" s="89" t="str">
        <x:v>€</x:v>
      </x:c>
      <x:c r="D8" s="89" t="str">
        <x:v>1,5% + €0,25</x:v>
      </x:c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Capture'e ühe säilinud osaluse kohta</x:v>
      </x:c>
      <x:c r="B9" s="113" t="n">
        <x:f>1/(1-Assumptions!B11)</x:f>
        <x:v>1.25</x:v>
      </x:c>
      <x:c r="C9" s="89" t="str">
        <x:v>x</x:v>
      </x:c>
      <x:c r="D9" s="89" t="str">
        <x:v>Arvestab refund/ebaõnnestumiste määra</x:v>
      </x:c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PSP kulu ühe säilinud osaluse kohta</x:v>
      </x:c>
      <x:c r="B10" s="112" t="n">
        <x:f>B8*B9</x:f>
        <x:v>2.1875</x:v>
      </x:c>
      <x:c r="C10" s="89" t="str">
        <x:v>€</x:v>
      </x:c>
      <x:c r="D10" s="89" t="str">
        <x:v>Capture-kulu × vajalik capture arv</x:v>
      </x:c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Kate enne püsikulusid</x:v>
      </x:c>
      <x:c r="B11" s="112" t="n">
        <x:f>B7-B10</x:f>
        <x:v>5.877016129032258</x:v>
      </x:c>
      <x:c r="C11" s="89" t="str">
        <x:v>€</x:v>
      </x:c>
      <x:c r="D11" s="89" t="str">
        <x:v>Netotulu – PSP</x:v>
      </x:c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Kate % brutotasust</x:v>
      </x:c>
      <x:c r="B12" s="114" t="n">
        <x:f>B11/B6</x:f>
        <x:v>0.5877016129032258</x:v>
      </x:c>
      <x:c r="C12" s="89" t="str">
        <x:v>%</x:v>
      </x:c>
      <x:c r="D12" s="89" t="str">
        <x:v>Kate / bruto platvormitasu</x:v>
      </x:c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 ht="22" customHeight="1">
      <x:c r="A14" s="12" t="str">
        <x:v>Käsiraha suuruse tundlikkus – praegune 10% tariif</x:v>
      </x:c>
      <x:c r="B14" s="12"/>
      <x:c r="C14" s="12"/>
      <x:c r="D14" s="12"/>
      <x:c r="E14" s="12"/>
      <x:c r="F14" s="12"/>
      <x:c r="G14" s="12"/>
      <x:c r="H14" s="12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22" t="str">
        <x:v>Käsiraha</x:v>
      </x:c>
      <x:c r="B15" s="22" t="str">
        <x:v>Brutotasu</x:v>
      </x:c>
      <x:c r="C15" s="22" t="str">
        <x:v>Netotulu</x:v>
      </x:c>
      <x:c r="D15" s="22" t="str">
        <x:v>PSP/capture</x:v>
      </x:c>
      <x:c r="E15" s="22" t="str">
        <x:v>Kate 0% refund</x:v>
      </x:c>
      <x:c r="F15" s="22" t="str">
        <x:v>Kate 20% refund</x:v>
      </x:c>
      <x:c r="G15" s="22" t="str">
        <x:v>€300/kuu break-even osalused/a</x:v>
      </x:c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91" t="n">
        <x:v>50</x:v>
      </x:c>
      <x:c r="B16" s="112" t="n">
        <x:f>A16*Assumptions!B7</x:f>
        <x:v>5</x:v>
      </x:c>
      <x:c r="C16" s="112" t="n">
        <x:f>B16/(1+Assumptions!B8)</x:f>
        <x:v>4.032258064516129</x:v>
      </x:c>
      <x:c r="D16" s="112" t="n">
        <x:f>A16*Assumptions!B9+Assumptions!B10</x:f>
        <x:v>1</x:v>
      </x:c>
      <x:c r="E16" s="112" t="n">
        <x:f>C16-D16</x:f>
        <x:v>3.032258064516129</x:v>
      </x:c>
      <x:c r="F16" s="112" t="n">
        <x:f>C16-D16/(1-Assumptions!B11)</x:f>
        <x:v>2.782258064516129</x:v>
      </x:c>
      <x:c r="G16" s="115" t="n">
        <x:f>ROUNDUP(3600/F16,0)</x:f>
        <x:v>1294</x:v>
      </x:c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91" t="n">
        <x:v>100</x:v>
      </x:c>
      <x:c r="B17" s="112" t="n">
        <x:f>A17*Assumptions!B7</x:f>
        <x:v>10</x:v>
      </x:c>
      <x:c r="C17" s="112" t="n">
        <x:f>B17/(1+Assumptions!B8)</x:f>
        <x:v>8.064516129032258</x:v>
      </x:c>
      <x:c r="D17" s="112" t="n">
        <x:f>A17*Assumptions!B9+Assumptions!B10</x:f>
        <x:v>1.75</x:v>
      </x:c>
      <x:c r="E17" s="112" t="n">
        <x:f>C17-D17</x:f>
        <x:v>6.314516129032258</x:v>
      </x:c>
      <x:c r="F17" s="112" t="n">
        <x:f>C17-D17/(1-Assumptions!B11)</x:f>
        <x:v>5.877016129032258</x:v>
      </x:c>
      <x:c r="G17" s="115" t="n">
        <x:f>ROUNDUP(3600/F17,0)</x:f>
        <x:v>613</x:v>
      </x:c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91" t="n">
        <x:v>200</x:v>
      </x:c>
      <x:c r="B18" s="112" t="n">
        <x:f>A18*Assumptions!B7</x:f>
        <x:v>20</x:v>
      </x:c>
      <x:c r="C18" s="112" t="n">
        <x:f>B18/(1+Assumptions!B8)</x:f>
        <x:v>16.129032258064516</x:v>
      </x:c>
      <x:c r="D18" s="112" t="n">
        <x:f>A18*Assumptions!B9+Assumptions!B10</x:f>
        <x:v>3.25</x:v>
      </x:c>
      <x:c r="E18" s="112" t="n">
        <x:f>C18-D18</x:f>
        <x:v>12.879032258064516</x:v>
      </x:c>
      <x:c r="F18" s="112" t="n">
        <x:f>C18-D18/(1-Assumptions!B11)</x:f>
        <x:v>12.066532258064516</x:v>
      </x:c>
      <x:c r="G18" s="115" t="n">
        <x:f>ROUNDUP(3600/F18,0)</x:f>
        <x:v>299</x:v>
      </x:c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91" t="n">
        <x:v>500</x:v>
      </x:c>
      <x:c r="B19" s="112" t="n">
        <x:f>A19*Assumptions!B7</x:f>
        <x:v>50</x:v>
      </x:c>
      <x:c r="C19" s="112" t="n">
        <x:f>B19/(1+Assumptions!B8)</x:f>
        <x:v>40.32258064516129</x:v>
      </x:c>
      <x:c r="D19" s="112" t="n">
        <x:f>A19*Assumptions!B9+Assumptions!B10</x:f>
        <x:v>7.75</x:v>
      </x:c>
      <x:c r="E19" s="112" t="n">
        <x:f>C19-D19</x:f>
        <x:v>32.57258064516129</x:v>
      </x:c>
      <x:c r="F19" s="112" t="n">
        <x:f>C19-D19/(1-Assumptions!B11)</x:f>
        <x:v>30.63508064516129</x:v>
      </x:c>
      <x:c r="G19" s="115" t="n">
        <x:f>ROUNDUP(3600/F19,0)</x:f>
        <x:v>118</x:v>
      </x:c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99" t="str">
        <x:v>Valem</x:v>
      </x:c>
      <x:c r="B20" s="99" t="str"/>
      <x:c r="C20" s="99" t="str"/>
      <x:c r="D20" s="99" t="str"/>
      <x:c r="E20" s="99" t="str"/>
      <x:c r="F20" s="99" t="str"/>
      <x:c r="G20" s="99" t="str">
        <x:v>Aastane püsikulu €3 600 / kate</x:v>
      </x:c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</x:sheetData>
  <x:mergeCells>
    <x:mergeCell ref="A1:H1"/>
    <x:mergeCell ref="A3:H3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5" hidden="0" customWidth="1"/>
    <x:col min="6" max="6" width="5" hidden="0" customWidth="1"/>
  </x:cols>
  <x:sheetData>
    <x:row r="1">
      <x:c r="A1" s="88" t="str">
        <x:v>ÜHISHANGE – 3 AASTA FINANTSPLAAN</x:v>
      </x:c>
      <x:c r="B1" s="88"/>
      <x:c r="C1" s="88"/>
      <x:c r="D1" s="88"/>
      <x:c r="E1" s="88"/>
      <x:c r="F1" s="88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90" t="str">
        <x:v>Valitud stsenaarium ja hinnastus tulevad Assumptions lehelt. Kõik mahud on planeerimiseeldused, mitte turuprognoos.</x:v>
      </x:c>
      <x:c r="B2" s="90"/>
      <x:c r="C2" s="90"/>
      <x:c r="D2" s="90"/>
      <x:c r="E2" s="90"/>
      <x:c r="F2" s="90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89"/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22" t="str"/>
      <x:c r="B4" s="22" t="str">
        <x:v>Aasta 1</x:v>
      </x:c>
      <x:c r="C4" s="22" t="str">
        <x:v>Aasta 2</x:v>
      </x:c>
      <x:c r="D4" s="22" t="str">
        <x:v>Aasta 3</x:v>
      </x:c>
      <x:c r="E4" s="89"/>
      <x:c r="F4" s="89"/>
      <x:c r="G4" s="89"/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 ht="22" customHeight="1">
      <x:c r="A5" s="12" t="str">
        <x:v>TEGEVUSMAHUD</x:v>
      </x:c>
      <x:c r="B5" s="12"/>
      <x:c r="C5" s="12"/>
      <x:c r="D5" s="12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Säilinud osalused</x:v>
      </x:c>
      <x:c r="B6" s="115" t="n">
        <x:f>IF(Assumptions!B15="Conservative",Assumptions!B20,IF(Assumptions!B15="Growth",Assumptions!B22,Assumptions!B21))</x:f>
        <x:v>500</x:v>
      </x:c>
      <x:c r="C6" s="115" t="n">
        <x:f>IF(Assumptions!B15="Conservative",Assumptions!C20,IF(Assumptions!B15="Growth",Assumptions!C22,Assumptions!C21))</x:f>
        <x:v>1500</x:v>
      </x:c>
      <x:c r="D6" s="115" t="n">
        <x:f>IF(Assumptions!B15="Conservative",Assumptions!D20,IF(Assumptions!B15="Growth",Assumptions!D22,Assumptions!D21))</x:f>
        <x:v>3500</x:v>
      </x:c>
      <x:c r="E6" s="89"/>
      <x:c r="F6" s="89"/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Edukaid gruppe</x:v>
      </x:c>
      <x:c r="B7" s="115" t="n">
        <x:f>B6/Assumptions!B13</x:f>
        <x:v>100</x:v>
      </x:c>
      <x:c r="C7" s="115" t="n">
        <x:f>C6/Assumptions!B13</x:f>
        <x:v>300</x:v>
      </x:c>
      <x:c r="D7" s="115" t="n">
        <x:f>D6/Assumptions!B13</x:f>
        <x:v>700</x:v>
      </x:c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Capture'e kokku</x:v>
      </x:c>
      <x:c r="B8" s="115" t="n">
        <x:f>B6/(1-Assumptions!B11)</x:f>
        <x:v>625</x:v>
      </x:c>
      <x:c r="C8" s="115" t="n">
        <x:f>C6/(1-Assumptions!B11)</x:f>
        <x:v>1875</x:v>
      </x:c>
      <x:c r="D8" s="115" t="n">
        <x:f>D6/(1-Assumptions!B11)</x:f>
        <x:v>4375</x:v>
      </x:c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GMV</x:v>
      </x:c>
      <x:c r="B9" s="115" t="n">
        <x:f>B6*Assumptions!B12</x:f>
        <x:v>750000</x:v>
      </x:c>
      <x:c r="C9" s="115" t="n">
        <x:f>C6*Assumptions!B12</x:f>
        <x:v>2250000</x:v>
      </x:c>
      <x:c r="D9" s="115" t="n">
        <x:f>D6*Assumptions!B12</x:f>
        <x:v>5250000</x:v>
      </x:c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/>
      <x:c r="B10" s="89"/>
      <x:c r="C10" s="89"/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 ht="22" customHeight="1">
      <x:c r="A11" s="12" t="str">
        <x:v>TULU JA MUUTUVKULUD</x:v>
      </x:c>
      <x:c r="B11" s="12"/>
      <x:c r="C11" s="12"/>
      <x:c r="D11" s="12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Bruto platvormitasu</x:v>
      </x:c>
      <x:c r="B12" s="115" t="n">
        <x:f>IF(Assumptions!B16="Current 10% deposit",B6*Assumptions!B6*Assumptions!B7,IF(Assumptions!B16="Hybrid +3% GMV",B6*Assumptions!B6*Assumptions!B7+B9*0.03,B9*0.04))</x:f>
        <x:v>5000</x:v>
      </x:c>
      <x:c r="C12" s="115" t="n">
        <x:f>IF(Assumptions!B16="Current 10% deposit",C6*Assumptions!B6*Assumptions!B7,IF(Assumptions!B16="Hybrid +3% GMV",C6*Assumptions!B6*Assumptions!B7+C9*0.03,C9*0.04))</x:f>
        <x:v>15000</x:v>
      </x:c>
      <x:c r="D12" s="115" t="n">
        <x:f>IF(Assumptions!B16="Current 10% deposit",D6*Assumptions!B6*Assumptions!B7,IF(Assumptions!B16="Hybrid +3% GMV",D6*Assumptions!B6*Assumptions!B7+D9*0.03,D9*0.04))</x:f>
        <x:v>35000</x:v>
      </x:c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Netotulu ilma KM-ta</x:v>
      </x:c>
      <x:c r="B13" s="115" t="n">
        <x:f>B12/(1+Assumptions!B8)</x:f>
        <x:v>4032.2580645161293</x:v>
      </x:c>
      <x:c r="C13" s="115" t="n">
        <x:f>C12/(1+Assumptions!B8)</x:f>
        <x:v>12096.774193548386</x:v>
      </x:c>
      <x:c r="D13" s="115" t="n">
        <x:f>D12/(1+Assumptions!B8)</x:f>
        <x:v>28225.806451612905</x:v>
      </x:c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PSP kulud</x:v>
      </x:c>
      <x:c r="B14" s="115" t="n">
        <x:f>B8*(Assumptions!B6*Assumptions!B9+Assumptions!B10)</x:f>
        <x:v>1093.75</x:v>
      </x:c>
      <x:c r="C14" s="115" t="n">
        <x:f>C8*(Assumptions!B6*Assumptions!B9+Assumptions!B10)</x:f>
        <x:v>3281.25</x:v>
      </x:c>
      <x:c r="D14" s="115" t="n">
        <x:f>D8*(Assumptions!B6*Assumptions!B9+Assumptions!B10)</x:f>
        <x:v>7656.25</x:v>
      </x:c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Kate enne püsikulusid</x:v>
      </x:c>
      <x:c r="B15" s="115" t="n">
        <x:f>B13-B14</x:f>
        <x:v>2938.5080645161293</x:v>
      </x:c>
      <x:c r="C15" s="115" t="n">
        <x:f>C13-C14</x:f>
        <x:v>8815.524193548386</x:v>
      </x:c>
      <x:c r="D15" s="115" t="n">
        <x:f>D13-D14</x:f>
        <x:v>20569.556451612905</x:v>
      </x:c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>
        <x:v>Kate / säilinud osalus</x:v>
      </x:c>
      <x:c r="B16" s="115" t="n">
        <x:f>B15/B6</x:f>
        <x:v>5.877016129032259</x:v>
      </x:c>
      <x:c r="C16" s="115" t="n">
        <x:f>C15/C6</x:f>
        <x:v>5.877016129032258</x:v>
      </x:c>
      <x:c r="D16" s="115" t="n">
        <x:f>D15/D6</x:f>
        <x:v>5.877016129032259</x:v>
      </x:c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str">
        <x:v>Püsikulud</x:v>
      </x:c>
      <x:c r="B17" s="115" t="n">
        <x:f>Assumptions!B35</x:f>
        <x:v>28400</x:v>
      </x:c>
      <x:c r="C17" s="115" t="n">
        <x:f>Assumptions!C35</x:f>
        <x:v>77400</x:v>
      </x:c>
      <x:c r="D17" s="115" t="n">
        <x:f>Assumptions!D35</x:f>
        <x:v>136800</x:v>
      </x:c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97" t="str">
        <x:v>EBITDA / rahaline tegevustulemus</x:v>
      </x:c>
      <x:c r="B18" s="120" t="n">
        <x:f>B15-B17</x:f>
        <x:v>-25461.49193548387</x:v>
      </x:c>
      <x:c r="C18" s="120" t="n">
        <x:f>C15-C17</x:f>
        <x:v>-68584.4758064516</x:v>
      </x:c>
      <x:c r="D18" s="120" t="n">
        <x:f>D15-D17</x:f>
        <x:v>-116230.44354838709</x:v>
      </x:c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 t="str">
        <x:v>EBITDA marginaal</x:v>
      </x:c>
      <x:c r="B19" s="114" t="n">
        <x:f>B18/B13</x:f>
        <x:v>-6.31445</x:v>
      </x:c>
      <x:c r="C19" s="114" t="n">
        <x:f>C18/C13</x:f>
        <x:v>-5.66965</x:v>
      </x:c>
      <x:c r="D19" s="114" t="n">
        <x:f>D18/D13</x:f>
        <x:v>-4.117878571428571</x:v>
      </x:c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 ht="22" customHeight="1">
      <x:c r="A21" s="12" t="str">
        <x:v>RAHA JA BREAK-EVEN</x:v>
      </x:c>
      <x:c r="B21" s="12"/>
      <x:c r="C21" s="12"/>
      <x:c r="D21" s="12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 t="str">
        <x:v>Aasta alguse raha</x:v>
      </x:c>
      <x:c r="B22" s="115" t="n">
        <x:f>Assumptions!B14</x:f>
        <x:v>10000</x:v>
      </x:c>
      <x:c r="C22" s="115" t="n">
        <x:f>B24</x:f>
        <x:v>-15461.491935483871</x:v>
      </x:c>
      <x:c r="D22" s="115" t="n">
        <x:f>C24</x:f>
        <x:v>-84045.96774193548</x:v>
      </x:c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 t="str">
        <x:v>Aasta rahavoog / EBITDA</x:v>
      </x:c>
      <x:c r="B23" s="115" t="n">
        <x:f>B18</x:f>
        <x:v>-25461.49193548387</x:v>
      </x:c>
      <x:c r="C23" s="115" t="n">
        <x:f>C18</x:f>
        <x:v>-68584.4758064516</x:v>
      </x:c>
      <x:c r="D23" s="115" t="n">
        <x:f>D18</x:f>
        <x:v>-116230.44354838709</x:v>
      </x:c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97" t="str">
        <x:v>Aasta lõpu raha</x:v>
      </x:c>
      <x:c r="B24" s="120" t="n">
        <x:f>B22+B23</x:f>
        <x:v>-15461.491935483871</x:v>
      </x:c>
      <x:c r="C24" s="120" t="n">
        <x:f>C22+C23</x:f>
        <x:v>-84045.96774193548</x:v>
      </x:c>
      <x:c r="D24" s="120" t="n">
        <x:f>D22+D23</x:f>
        <x:v>-200276.41129032258</x:v>
      </x:c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 t="str">
        <x:v>Break-even osalused</x:v>
      </x:c>
      <x:c r="B25" s="115" t="n">
        <x:f>IF(B16&lt;=0,0,ROUNDUP(B17/B16,0))</x:f>
        <x:v>4833</x:v>
      </x:c>
      <x:c r="C25" s="115" t="n">
        <x:f>IF(C16&lt;=0,0,ROUNDUP(C17/C16,0))</x:f>
        <x:v>13170</x:v>
      </x:c>
      <x:c r="D25" s="115" t="n">
        <x:f>IF(D16&lt;=0,0,ROUNDUP(D17/D16,0))</x:f>
        <x:v>23278</x:v>
      </x:c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 t="str">
        <x:v>Varu / puudujääk vs break-even</x:v>
      </x:c>
      <x:c r="B26" s="115" t="n">
        <x:f>B6-B25</x:f>
        <x:v>-4333</x:v>
      </x:c>
      <x:c r="C26" s="115" t="n">
        <x:f>C6-C25</x:f>
        <x:v>-11670</x:v>
      </x:c>
      <x:c r="D26" s="115" t="n">
        <x:f>D6-D25</x:f>
        <x:v>-19778</x:v>
      </x:c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 t="str">
        <x:v>Vajalik lisarahastus aasta lõpuks</x:v>
      </x:c>
      <x:c r="B27" s="115" t="n">
        <x:f>MAX(0,-B24)</x:f>
        <x:v>15461.491935483871</x:v>
      </x:c>
      <x:c r="C27" s="115" t="n">
        <x:f>MAX(0,-C24)</x:f>
        <x:v>84045.96774193548</x:v>
      </x:c>
      <x:c r="D27" s="115" t="n">
        <x:f>MAX(0,-D24)</x:f>
        <x:v>200276.41129032258</x:v>
      </x:c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</x:sheetData>
  <x:mergeCells>
    <x:mergeCell ref="A1:F1"/>
    <x:mergeCell ref="A2:F2"/>
    <x:mergeCell ref="A5:D5"/>
    <x:mergeCell ref="A11:D11"/>
    <x:mergeCell ref="A21:D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8" t="str">
        <x:v>HINNASTUSMUDELITE VÕRDLUS</x:v>
      </x:c>
      <x:c r="B1" s="88"/>
      <x:c r="C1" s="88"/>
      <x:c r="D1" s="88"/>
      <x:c r="E1" s="88"/>
      <x:c r="F1" s="88"/>
      <x:c r="G1" s="88"/>
      <x:c r="H1" s="88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22" t="str">
        <x:v>Mudel</x:v>
      </x:c>
      <x:c r="B3" s="22" t="str">
        <x:v>Brutotasu / osalus</x:v>
      </x:c>
      <x:c r="C3" s="22" t="str">
        <x:v>Netotulu / osalus</x:v>
      </x:c>
      <x:c r="D3" s="22" t="str">
        <x:v>PSP / säilinud osalus</x:v>
      </x:c>
      <x:c r="E3" s="22" t="str">
        <x:v>Kate / osalus</x:v>
      </x:c>
      <x:c r="F3" s="22" t="str">
        <x:v>A1 break-even</x:v>
      </x:c>
      <x:c r="G3" s="22" t="str">
        <x:v>A2 break-even</x:v>
      </x:c>
      <x:c r="H3" s="22" t="str">
        <x:v>A3 break-even</x:v>
      </x:c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Current 10% deposit</x:v>
      </x:c>
      <x:c r="B4" s="112" t="n">
        <x:f>Assumptions!B6*0.1+Assumptions!B12*0.0</x:f>
        <x:v>10</x:v>
      </x:c>
      <x:c r="C4" s="112" t="n">
        <x:f>B4/(1+Assumptions!B8)</x:f>
        <x:v>8.064516129032258</x:v>
      </x:c>
      <x:c r="D4" s="112" t="n">
        <x:f>(Assumptions!B6*Assumptions!B9+Assumptions!B10)/(1-Assumptions!B11)</x:f>
        <x:v>2.1875</x:v>
      </x:c>
      <x:c r="E4" s="112" t="n">
        <x:f>C4-D4</x:f>
        <x:v>5.877016129032258</x:v>
      </x:c>
      <x:c r="F4" s="115" t="n">
        <x:f>IF(E4&lt;=0,0,ROUNDUP(Assumptions!B35/E4,0))</x:f>
        <x:v>4833</x:v>
      </x:c>
      <x:c r="G4" s="115" t="n">
        <x:f>IF(E4&lt;=0,0,ROUNDUP(Assumptions!C35/E4,0))</x:f>
        <x:v>13170</x:v>
      </x:c>
      <x:c r="H4" s="115" t="n">
        <x:f>IF(E4&lt;=0,0,ROUNDUP(Assumptions!D35/E4,0))</x:f>
        <x:v>23278</x:v>
      </x:c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Hybrid +3% GMV</x:v>
      </x:c>
      <x:c r="B5" s="112" t="n">
        <x:f>Assumptions!B6*0.1+Assumptions!B12*0.03</x:f>
        <x:v>55</x:v>
      </x:c>
      <x:c r="C5" s="112" t="n">
        <x:f>B5/(1+Assumptions!B8)</x:f>
        <x:v>44.354838709677416</x:v>
      </x:c>
      <x:c r="D5" s="112" t="n">
        <x:f>(Assumptions!B6*Assumptions!B9+Assumptions!B10)/(1-Assumptions!B11)</x:f>
        <x:v>2.1875</x:v>
      </x:c>
      <x:c r="E5" s="112" t="n">
        <x:f>C5-D5</x:f>
        <x:v>42.167338709677416</x:v>
      </x:c>
      <x:c r="F5" s="115" t="n">
        <x:f>IF(E5&lt;=0,0,ROUNDUP(Assumptions!B35/E5,0))</x:f>
        <x:v>674</x:v>
      </x:c>
      <x:c r="G5" s="115" t="n">
        <x:f>IF(E5&lt;=0,0,ROUNDUP(Assumptions!C35/E5,0))</x:f>
        <x:v>1836</x:v>
      </x:c>
      <x:c r="H5" s="115" t="n">
        <x:f>IF(E5&lt;=0,0,ROUNDUP(Assumptions!D35/E5,0))</x:f>
        <x:v>3245</x:v>
      </x:c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4% GMV</x:v>
      </x:c>
      <x:c r="B6" s="112" t="n">
        <x:f>Assumptions!B6*0.0+Assumptions!B12*0.04</x:f>
        <x:v>60</x:v>
      </x:c>
      <x:c r="C6" s="112" t="n">
        <x:f>B6/(1+Assumptions!B8)</x:f>
        <x:v>48.38709677419355</x:v>
      </x:c>
      <x:c r="D6" s="112" t="n">
        <x:f>(Assumptions!B6*Assumptions!B9+Assumptions!B10)/(1-Assumptions!B11)</x:f>
        <x:v>2.1875</x:v>
      </x:c>
      <x:c r="E6" s="112" t="n">
        <x:f>C6-D6</x:f>
        <x:v>46.19959677419355</x:v>
      </x:c>
      <x:c r="F6" s="115" t="n">
        <x:f>IF(E6&lt;=0,0,ROUNDUP(Assumptions!B35/E6,0))</x:f>
        <x:v>615</x:v>
      </x:c>
      <x:c r="G6" s="115" t="n">
        <x:f>IF(E6&lt;=0,0,ROUNDUP(Assumptions!C35/E6,0))</x:f>
        <x:v>1676</x:v>
      </x:c>
      <x:c r="H6" s="115" t="n">
        <x:f>IF(E6&lt;=0,0,ROUNDUP(Assumptions!D35/E6,0))</x:f>
        <x:v>2962</x:v>
      </x:c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99" t="str">
        <x:v>Märkus</x:v>
      </x:c>
      <x:c r="B7" s="99" t="str"/>
      <x:c r="C7" s="99" t="str"/>
      <x:c r="D7" s="99" t="str"/>
      <x:c r="E7" s="99" t="str"/>
      <x:c r="F7" s="99" t="str">
        <x:v>Püsikulud / kate</x:v>
      </x:c>
      <x:c r="G7" s="99" t="str"/>
      <x:c r="H7" s="99" t="str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 ht="22" customHeight="1">
      <x:c r="A9" s="12" t="str">
        <x:v>Baasmahuga EBITDA võrdlus</x:v>
      </x:c>
      <x:c r="B9" s="12"/>
      <x:c r="C9" s="12"/>
      <x:c r="D9" s="12"/>
      <x:c r="E9" s="12"/>
      <x:c r="F9" s="12"/>
      <x:c r="G9" s="12"/>
      <x:c r="H9" s="12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22" t="str">
        <x:v>Mudel</x:v>
      </x:c>
      <x:c r="B10" s="22" t="str">
        <x:v>Aasta 1</x:v>
      </x:c>
      <x:c r="C10" s="22" t="str">
        <x:v>Aasta 2</x:v>
      </x:c>
      <x:c r="D10" s="22" t="str">
        <x:v>Aasta 3</x:v>
      </x:c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Current 10% deposit</x:v>
      </x:c>
      <x:c r="B11" s="115" t="n">
        <x:f>Assumptions!B21*$E$4-Assumptions!B35</x:f>
        <x:v>-25461.49193548387</x:v>
      </x:c>
      <x:c r="C11" s="115" t="n">
        <x:f>Assumptions!C21*$E$4-Assumptions!C35</x:f>
        <x:v>-68584.4758064516</x:v>
      </x:c>
      <x:c r="D11" s="115" t="n">
        <x:f>Assumptions!D21*$E$4-Assumptions!D35</x:f>
        <x:v>-116230.44354838709</x:v>
      </x:c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Hybrid +3% GMV</x:v>
      </x:c>
      <x:c r="B12" s="115" t="n">
        <x:f>Assumptions!B21*$E$5-Assumptions!B35</x:f>
        <x:v>-7316.330645161292</x:v>
      </x:c>
      <x:c r="C12" s="115" t="n">
        <x:f>Assumptions!C21*$E$5-Assumptions!C35</x:f>
        <x:v>-14148.991935483878</x:v>
      </x:c>
      <x:c r="D12" s="115" t="n">
        <x:f>Assumptions!D21*$E$5-Assumptions!D35</x:f>
        <x:v>10785.68548387097</x:v>
      </x:c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4% GMV</x:v>
      </x:c>
      <x:c r="B13" s="115" t="n">
        <x:f>Assumptions!B21*$E$6-Assumptions!B35</x:f>
        <x:v>-5300.201612903224</x:v>
      </x:c>
      <x:c r="C13" s="115" t="n">
        <x:f>Assumptions!C21*$E$6-Assumptions!C35</x:f>
        <x:v>-8100.604838709667</x:v>
      </x:c>
      <x:c r="D13" s="115" t="n">
        <x:f>Assumptions!D21*$E$6-Assumptions!D35</x:f>
        <x:v>24898.588709677424</x:v>
      </x:c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99" t="str">
        <x:v>Baasmahud</x:v>
      </x:c>
      <x:c r="B14" s="99" t="str">
        <x:v>500 osalust</x:v>
      </x:c>
      <x:c r="C14" s="99" t="str">
        <x:v>1 500 osalust</x:v>
      </x:c>
      <x:c r="D14" s="99" t="str">
        <x:v>3 500 osalust</x:v>
      </x:c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</x:sheetData>
  <x:mergeCells>
    <x:mergeCell ref="A1:H1"/>
    <x:mergeCell ref="A9:H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88" t="str">
        <x:v>AASTA 1 – KUU KAUPA RAHAVOOG</x:v>
      </x:c>
      <x:c r="B1" s="88"/>
      <x:c r="C1" s="88"/>
      <x:c r="D1" s="88"/>
      <x:c r="E1" s="88"/>
      <x:c r="F1" s="88"/>
      <x:c r="G1" s="88"/>
      <x:c r="H1" s="88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22" t="str">
        <x:v>Kuu</x:v>
      </x:c>
      <x:c r="B3" s="22" t="str">
        <x:v>Mahukaal</x:v>
      </x:c>
      <x:c r="C3" s="22" t="str">
        <x:v>Säilinud osalused</x:v>
      </x:c>
      <x:c r="D3" s="22" t="str">
        <x:v>Netotulu</x:v>
      </x:c>
      <x:c r="E3" s="22" t="str">
        <x:v>PSP</x:v>
      </x:c>
      <x:c r="F3" s="22" t="str">
        <x:v>Püsikulud</x:v>
      </x:c>
      <x:c r="G3" s="22" t="str">
        <x:v>Rahavoog</x:v>
      </x:c>
      <x:c r="H3" s="22" t="str">
        <x:v>Lõpu raha</x:v>
      </x:c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Jaan</x:v>
      </x:c>
      <x:c r="B4" s="92" t="n">
        <x:v>0.1</x:v>
      </x:c>
      <x:c r="C4" s="115" t="n">
        <x:f>ROUND('3Y Plan'!B6*B4,0)</x:f>
        <x:v>50</x:v>
      </x:c>
      <x:c r="D4" s="115" t="n">
        <x:f>'3Y Plan'!B13*B4</x:f>
        <x:v>403.2258064516129</x:v>
      </x:c>
      <x:c r="E4" s="115" t="n">
        <x:f>'3Y Plan'!B14*B4</x:f>
        <x:v>109.375</x:v>
      </x:c>
      <x:c r="F4" s="115" t="n">
        <x:f>'3Y Plan'!B17/12</x:f>
        <x:v>2366.6666666666665</x:v>
      </x:c>
      <x:c r="G4" s="115" t="n">
        <x:f>D4-E4-F4</x:f>
        <x:v>-2072.8158602150534</x:v>
      </x:c>
      <x:c r="H4" s="115" t="n">
        <x:f>Assumptions!B14+G4</x:f>
        <x:v>7927.184139784947</x:v>
      </x:c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Veebr</x:v>
      </x:c>
      <x:c r="B5" s="92" t="n">
        <x:v>0.08</x:v>
      </x:c>
      <x:c r="C5" s="115" t="n">
        <x:f>ROUND('3Y Plan'!B6*B5,0)</x:f>
        <x:v>40</x:v>
      </x:c>
      <x:c r="D5" s="115" t="n">
        <x:f>'3Y Plan'!B13*B5</x:f>
        <x:v>322.58064516129036</x:v>
      </x:c>
      <x:c r="E5" s="115" t="n">
        <x:f>'3Y Plan'!B14*B5</x:f>
        <x:v>87.5</x:v>
      </x:c>
      <x:c r="F5" s="115" t="n">
        <x:f>'3Y Plan'!B17/12</x:f>
        <x:v>2366.6666666666665</x:v>
      </x:c>
      <x:c r="G5" s="115" t="n">
        <x:f>D5-E5-F5</x:f>
        <x:v>-2131.5860215053763</x:v>
      </x:c>
      <x:c r="H5" s="115" t="n">
        <x:f>H4+G5</x:f>
        <x:v>5795.59811827957</x:v>
      </x:c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Märts</x:v>
      </x:c>
      <x:c r="B6" s="92" t="n">
        <x:v>0.05</x:v>
      </x:c>
      <x:c r="C6" s="115" t="n">
        <x:f>ROUND('3Y Plan'!B6*B6,0)</x:f>
        <x:v>25</x:v>
      </x:c>
      <x:c r="D6" s="115" t="n">
        <x:f>'3Y Plan'!B13*B6</x:f>
        <x:v>201.61290322580646</x:v>
      </x:c>
      <x:c r="E6" s="115" t="n">
        <x:f>'3Y Plan'!B14*B6</x:f>
        <x:v>54.6875</x:v>
      </x:c>
      <x:c r="F6" s="115" t="n">
        <x:f>'3Y Plan'!B17/12</x:f>
        <x:v>2366.6666666666665</x:v>
      </x:c>
      <x:c r="G6" s="115" t="n">
        <x:f>D6-E6-F6</x:f>
        <x:v>-2219.74126344086</x:v>
      </x:c>
      <x:c r="H6" s="115" t="n">
        <x:f>H5+G6</x:f>
        <x:v>3575.85685483871</x:v>
      </x:c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Apr</x:v>
      </x:c>
      <x:c r="B7" s="92" t="n">
        <x:v>0.05</x:v>
      </x:c>
      <x:c r="C7" s="115" t="n">
        <x:f>ROUND('3Y Plan'!B6*B7,0)</x:f>
        <x:v>25</x:v>
      </x:c>
      <x:c r="D7" s="115" t="n">
        <x:f>'3Y Plan'!B13*B7</x:f>
        <x:v>201.61290322580646</x:v>
      </x:c>
      <x:c r="E7" s="115" t="n">
        <x:f>'3Y Plan'!B14*B7</x:f>
        <x:v>54.6875</x:v>
      </x:c>
      <x:c r="F7" s="115" t="n">
        <x:f>'3Y Plan'!B17/12</x:f>
        <x:v>2366.6666666666665</x:v>
      </x:c>
      <x:c r="G7" s="115" t="n">
        <x:f>D7-E7-F7</x:f>
        <x:v>-2219.74126344086</x:v>
      </x:c>
      <x:c r="H7" s="115" t="n">
        <x:f>H6+G7</x:f>
        <x:v>1356.11559139785</x:v>
      </x:c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Mai</x:v>
      </x:c>
      <x:c r="B8" s="92" t="n">
        <x:v>0.05</x:v>
      </x:c>
      <x:c r="C8" s="115" t="n">
        <x:f>ROUND('3Y Plan'!B6*B8,0)</x:f>
        <x:v>25</x:v>
      </x:c>
      <x:c r="D8" s="115" t="n">
        <x:f>'3Y Plan'!B13*B8</x:f>
        <x:v>201.61290322580646</x:v>
      </x:c>
      <x:c r="E8" s="115" t="n">
        <x:f>'3Y Plan'!B14*B8</x:f>
        <x:v>54.6875</x:v>
      </x:c>
      <x:c r="F8" s="115" t="n">
        <x:f>'3Y Plan'!B17/12</x:f>
        <x:v>2366.6666666666665</x:v>
      </x:c>
      <x:c r="G8" s="115" t="n">
        <x:f>D8-E8-F8</x:f>
        <x:v>-2219.74126344086</x:v>
      </x:c>
      <x:c r="H8" s="115" t="n">
        <x:f>H7+G8</x:f>
        <x:v>-863.6256720430101</x:v>
      </x:c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Juuni</x:v>
      </x:c>
      <x:c r="B9" s="92" t="n">
        <x:v>0.04</x:v>
      </x:c>
      <x:c r="C9" s="115" t="n">
        <x:f>ROUND('3Y Plan'!B6*B9,0)</x:f>
        <x:v>20</x:v>
      </x:c>
      <x:c r="D9" s="115" t="n">
        <x:f>'3Y Plan'!B13*B9</x:f>
        <x:v>161.29032258064518</x:v>
      </x:c>
      <x:c r="E9" s="115" t="n">
        <x:f>'3Y Plan'!B14*B9</x:f>
        <x:v>43.75</x:v>
      </x:c>
      <x:c r="F9" s="115" t="n">
        <x:f>'3Y Plan'!B17/12</x:f>
        <x:v>2366.6666666666665</x:v>
      </x:c>
      <x:c r="G9" s="115" t="n">
        <x:f>D9-E9-F9</x:f>
        <x:v>-2249.126344086021</x:v>
      </x:c>
      <x:c r="H9" s="115" t="n">
        <x:f>H8+G9</x:f>
        <x:v>-3112.7520161290313</x:v>
      </x:c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Juuli</x:v>
      </x:c>
      <x:c r="B10" s="92" t="n">
        <x:v>0.03</x:v>
      </x:c>
      <x:c r="C10" s="115" t="n">
        <x:f>ROUND('3Y Plan'!B6*B10,0)</x:f>
        <x:v>15</x:v>
      </x:c>
      <x:c r="D10" s="115" t="n">
        <x:f>'3Y Plan'!B13*B10</x:f>
        <x:v>120.96774193548387</x:v>
      </x:c>
      <x:c r="E10" s="115" t="n">
        <x:f>'3Y Plan'!B14*B10</x:f>
        <x:v>32.8125</x:v>
      </x:c>
      <x:c r="F10" s="115" t="n">
        <x:f>'3Y Plan'!B17/12</x:f>
        <x:v>2366.6666666666665</x:v>
      </x:c>
      <x:c r="G10" s="115" t="n">
        <x:f>D10-E10-F10</x:f>
        <x:v>-2278.5114247311826</x:v>
      </x:c>
      <x:c r="H10" s="115" t="n">
        <x:f>H9+G10</x:f>
        <x:v>-5391.263440860213</x:v>
      </x:c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Aug</x:v>
      </x:c>
      <x:c r="B11" s="92" t="n">
        <x:v>0.04</x:v>
      </x:c>
      <x:c r="C11" s="115" t="n">
        <x:f>ROUND('3Y Plan'!B6*B11,0)</x:f>
        <x:v>20</x:v>
      </x:c>
      <x:c r="D11" s="115" t="n">
        <x:f>'3Y Plan'!B13*B11</x:f>
        <x:v>161.29032258064518</x:v>
      </x:c>
      <x:c r="E11" s="115" t="n">
        <x:f>'3Y Plan'!B14*B11</x:f>
        <x:v>43.75</x:v>
      </x:c>
      <x:c r="F11" s="115" t="n">
        <x:f>'3Y Plan'!B17/12</x:f>
        <x:v>2366.6666666666665</x:v>
      </x:c>
      <x:c r="G11" s="115" t="n">
        <x:f>D11-E11-F11</x:f>
        <x:v>-2249.126344086021</x:v>
      </x:c>
      <x:c r="H11" s="115" t="n">
        <x:f>H10+G11</x:f>
        <x:v>-7640.389784946235</x:v>
      </x:c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Sept</x:v>
      </x:c>
      <x:c r="B12" s="92" t="n">
        <x:v>0.1</x:v>
      </x:c>
      <x:c r="C12" s="115" t="n">
        <x:f>ROUND('3Y Plan'!B6*B12,0)</x:f>
        <x:v>50</x:v>
      </x:c>
      <x:c r="D12" s="115" t="n">
        <x:f>'3Y Plan'!B13*B12</x:f>
        <x:v>403.2258064516129</x:v>
      </x:c>
      <x:c r="E12" s="115" t="n">
        <x:f>'3Y Plan'!B14*B12</x:f>
        <x:v>109.375</x:v>
      </x:c>
      <x:c r="F12" s="115" t="n">
        <x:f>'3Y Plan'!B17/12</x:f>
        <x:v>2366.6666666666665</x:v>
      </x:c>
      <x:c r="G12" s="115" t="n">
        <x:f>D12-E12-F12</x:f>
        <x:v>-2072.8158602150534</x:v>
      </x:c>
      <x:c r="H12" s="115" t="n">
        <x:f>H11+G12</x:f>
        <x:v>-9713.205645161288</x:v>
      </x:c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Okt</x:v>
      </x:c>
      <x:c r="B13" s="92" t="n">
        <x:v>0.2</x:v>
      </x:c>
      <x:c r="C13" s="115" t="n">
        <x:f>ROUND('3Y Plan'!B6*B13,0)</x:f>
        <x:v>100</x:v>
      </x:c>
      <x:c r="D13" s="115" t="n">
        <x:f>'3Y Plan'!B13*B13</x:f>
        <x:v>806.4516129032259</x:v>
      </x:c>
      <x:c r="E13" s="115" t="n">
        <x:f>'3Y Plan'!B14*B13</x:f>
        <x:v>218.75</x:v>
      </x:c>
      <x:c r="F13" s="115" t="n">
        <x:f>'3Y Plan'!B17/12</x:f>
        <x:v>2366.6666666666665</x:v>
      </x:c>
      <x:c r="G13" s="115" t="n">
        <x:f>D13-E13-F13</x:f>
        <x:v>-1778.9650537634407</x:v>
      </x:c>
      <x:c r="H13" s="115" t="n">
        <x:f>H12+G13</x:f>
        <x:v>-11492.170698924729</x:v>
      </x:c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Nov</x:v>
      </x:c>
      <x:c r="B14" s="92" t="n">
        <x:v>0.16</x:v>
      </x:c>
      <x:c r="C14" s="115" t="n">
        <x:f>ROUND('3Y Plan'!B6*B14,0)</x:f>
        <x:v>80</x:v>
      </x:c>
      <x:c r="D14" s="115" t="n">
        <x:f>'3Y Plan'!B13*B14</x:f>
        <x:v>645.1612903225807</x:v>
      </x:c>
      <x:c r="E14" s="115" t="n">
        <x:f>'3Y Plan'!B14*B14</x:f>
        <x:v>175</x:v>
      </x:c>
      <x:c r="F14" s="115" t="n">
        <x:f>'3Y Plan'!B17/12</x:f>
        <x:v>2366.6666666666665</x:v>
      </x:c>
      <x:c r="G14" s="115" t="n">
        <x:f>D14-E14-F14</x:f>
        <x:v>-1896.5053763440858</x:v>
      </x:c>
      <x:c r="H14" s="115" t="n">
        <x:f>H13+G14</x:f>
        <x:v>-13388.676075268815</x:v>
      </x:c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Dets</x:v>
      </x:c>
      <x:c r="B15" s="92" t="n">
        <x:v>0.1</x:v>
      </x:c>
      <x:c r="C15" s="115" t="n">
        <x:f>ROUND('3Y Plan'!B6*B15,0)</x:f>
        <x:v>50</x:v>
      </x:c>
      <x:c r="D15" s="115" t="n">
        <x:f>'3Y Plan'!B13*B15</x:f>
        <x:v>403.2258064516129</x:v>
      </x:c>
      <x:c r="E15" s="115" t="n">
        <x:f>'3Y Plan'!B14*B15</x:f>
        <x:v>109.375</x:v>
      </x:c>
      <x:c r="F15" s="115" t="n">
        <x:f>'3Y Plan'!B17/12</x:f>
        <x:v>2366.6666666666665</x:v>
      </x:c>
      <x:c r="G15" s="115" t="n">
        <x:f>D15-E15-F15</x:f>
        <x:v>-2072.8158602150534</x:v>
      </x:c>
      <x:c r="H15" s="115" t="n">
        <x:f>H14+G15</x:f>
        <x:v>-15461.491935483868</x:v>
      </x:c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97" t="str">
        <x:v>KOKKU</x:v>
      </x:c>
      <x:c r="B16" s="122" t="n">
        <x:f>SUM(B4:B15)</x:f>
        <x:v>1</x:v>
      </x:c>
      <x:c r="C16" s="98" t="n">
        <x:f>SUM(C4:C15)</x:f>
        <x:v>500</x:v>
      </x:c>
      <x:c r="D16" s="98" t="n">
        <x:f>SUM(D4:D15)</x:f>
        <x:v>4032.258064516129</x:v>
      </x:c>
      <x:c r="E16" s="98" t="n">
        <x:f>SUM(E4:E15)</x:f>
        <x:v>1093.75</x:v>
      </x:c>
      <x:c r="F16" s="98" t="n">
        <x:f>SUM(F4:F15)</x:f>
        <x:v>28400.000000000004</x:v>
      </x:c>
      <x:c r="G16" s="98" t="n">
        <x:f>SUM(G4:G15)</x:f>
        <x:v>-25461.491935483868</x:v>
      </x:c>
      <x:c r="H16" s="98" t="n">
        <x:f>H15</x:f>
        <x:v>-15461.491935483868</x:v>
      </x:c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2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124" t="str">
        <x:v>ÜHISHANGE – FINANTSPLAANI JUHTPANEEL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90" t="str">
        <x:v>Põhisõnum: praegune 10% käsiraha-tasu on piloodi jaoks lihtne, kuid täiskuluga ettevõtte finantseerimiseks vajab väga suurt osaluste mahtu või täiendavat GMV-põhist edukustasu.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89"/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20" t="str">
        <x:v>Valitud mahustsenaarium</x:v>
      </x:c>
      <x:c r="B4" s="20"/>
      <x:c r="C4" s="20" t="str">
        <x:v>Valitud hinnastus</x:v>
      </x:c>
      <x:c r="D4" s="20"/>
      <x:c r="E4" s="20" t="str">
        <x:v>Kate / osalus</x:v>
      </x:c>
      <x:c r="F4" s="20"/>
      <x:c r="G4" s="20" t="str">
        <x:v>A1 break-even</x:v>
      </x:c>
      <x:c r="H4" s="20"/>
      <x:c r="I4" s="20" t="str">
        <x:v>3a lõpu raha</x:v>
      </x:c>
      <x:c r="J4" s="20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78" t="str">
        <x:f>Assumptions!B15</x:f>
        <x:v>Base</x:v>
      </x:c>
      <x:c r="B5" s="78"/>
      <x:c r="C5" s="78" t="str">
        <x:f>Assumptions!B16</x:f>
        <x:v>Current 10% deposit</x:v>
      </x:c>
      <x:c r="D5" s="78"/>
      <x:c r="E5" s="80" t="n">
        <x:f>'3Y Plan'!B16</x:f>
        <x:v>5.877016129032259</x:v>
      </x:c>
      <x:c r="F5" s="80"/>
      <x:c r="G5" s="82" t="n">
        <x:f>'3Y Plan'!B25</x:f>
        <x:v>4833</x:v>
      </x:c>
      <x:c r="H5" s="82"/>
      <x:c r="I5" s="82" t="n">
        <x:f>'3Y Plan'!D24</x:f>
        <x:v>-200276.41129032258</x:v>
      </x:c>
      <x:c r="J5" s="82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78"/>
      <x:c r="B6" s="78"/>
      <x:c r="C6" s="78"/>
      <x:c r="D6" s="78"/>
      <x:c r="E6" s="80"/>
      <x:c r="F6" s="80"/>
      <x:c r="G6" s="82"/>
      <x:c r="H6" s="82"/>
      <x:c r="I6" s="82"/>
      <x:c r="J6" s="82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 ht="22" customHeight="1">
      <x:c r="A8" s="12" t="str">
        <x:v>3 aasta põhinäitajad</x:v>
      </x:c>
      <x:c r="B8" s="12"/>
      <x:c r="C8" s="12"/>
      <x:c r="D8" s="12"/>
      <x:c r="E8" s="12"/>
      <x:c r="F8" s="12" t="str">
        <x:v>Hinnastusmudelite võrdlus – kate / osalus</x:v>
      </x:c>
      <x:c r="G8" s="12"/>
      <x:c r="H8" s="12"/>
      <x:c r="I8" s="12"/>
      <x:c r="J8" s="12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22" t="str">
        <x:v>Näitaja</x:v>
      </x:c>
      <x:c r="B9" s="22" t="str">
        <x:v>Aasta 1</x:v>
      </x:c>
      <x:c r="C9" s="22" t="str">
        <x:v>Aasta 2</x:v>
      </x:c>
      <x:c r="D9" s="22" t="str">
        <x:v>Aasta 3</x:v>
      </x:c>
      <x:c r="E9" s="89"/>
      <x:c r="F9" s="22" t="str">
        <x:v>Mudel</x:v>
      </x:c>
      <x:c r="G9" s="22" t="str">
        <x:v>Kate / osalus</x:v>
      </x:c>
      <x:c r="H9" s="22" t="str">
        <x:v>A1 BE</x:v>
      </x:c>
      <x:c r="I9" s="22" t="str">
        <x:v>A2 BE</x:v>
      </x:c>
      <x:c r="J9" s="22" t="str">
        <x:v>A3 BE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Säilinud osalused</x:v>
      </x:c>
      <x:c r="B10" s="115" t="n">
        <x:f>'3Y Plan'!B6</x:f>
        <x:v>500</x:v>
      </x:c>
      <x:c r="C10" s="115" t="n">
        <x:f>'3Y Plan'!C6</x:f>
        <x:v>1500</x:v>
      </x:c>
      <x:c r="D10" s="115" t="n">
        <x:f>'3Y Plan'!D6</x:f>
        <x:v>3500</x:v>
      </x:c>
      <x:c r="E10" s="89"/>
      <x:c r="F10" s="89" t="str">
        <x:v>Current 10% deposit</x:v>
      </x:c>
      <x:c r="G10" s="112" t="n">
        <x:f>'Pricing Scenarios'!E4</x:f>
        <x:v>5.877016129032258</x:v>
      </x:c>
      <x:c r="H10" s="115" t="n">
        <x:f>'Pricing Scenarios'!F4</x:f>
        <x:v>4833</x:v>
      </x:c>
      <x:c r="I10" s="115" t="n">
        <x:f>'Pricing Scenarios'!G4</x:f>
        <x:v>13170</x:v>
      </x:c>
      <x:c r="J10" s="115" t="n">
        <x:f>'Pricing Scenarios'!H4</x:f>
        <x:v>23278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GMV</x:v>
      </x:c>
      <x:c r="B11" s="115" t="n">
        <x:f>'3Y Plan'!B9</x:f>
        <x:v>750000</x:v>
      </x:c>
      <x:c r="C11" s="115" t="n">
        <x:f>'3Y Plan'!C9</x:f>
        <x:v>2250000</x:v>
      </x:c>
      <x:c r="D11" s="115" t="n">
        <x:f>'3Y Plan'!D9</x:f>
        <x:v>5250000</x:v>
      </x:c>
      <x:c r="E11" s="89"/>
      <x:c r="F11" s="89" t="str">
        <x:v>Hybrid +3% GMV</x:v>
      </x:c>
      <x:c r="G11" s="112" t="n">
        <x:f>'Pricing Scenarios'!E5</x:f>
        <x:v>42.167338709677416</x:v>
      </x:c>
      <x:c r="H11" s="115" t="n">
        <x:f>'Pricing Scenarios'!F5</x:f>
        <x:v>674</x:v>
      </x:c>
      <x:c r="I11" s="115" t="n">
        <x:f>'Pricing Scenarios'!G5</x:f>
        <x:v>1836</x:v>
      </x:c>
      <x:c r="J11" s="115" t="n">
        <x:f>'Pricing Scenarios'!H5</x:f>
        <x:v>3245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Netotulu</x:v>
      </x:c>
      <x:c r="B12" s="115" t="n">
        <x:f>'3Y Plan'!B13</x:f>
        <x:v>4032.2580645161293</x:v>
      </x:c>
      <x:c r="C12" s="115" t="n">
        <x:f>'3Y Plan'!C13</x:f>
        <x:v>12096.774193548386</x:v>
      </x:c>
      <x:c r="D12" s="115" t="n">
        <x:f>'3Y Plan'!D13</x:f>
        <x:v>28225.806451612905</x:v>
      </x:c>
      <x:c r="E12" s="89"/>
      <x:c r="F12" s="89" t="str">
        <x:v>4% GMV</x:v>
      </x:c>
      <x:c r="G12" s="112" t="n">
        <x:f>'Pricing Scenarios'!E6</x:f>
        <x:v>46.19959677419355</x:v>
      </x:c>
      <x:c r="H12" s="115" t="n">
        <x:f>'Pricing Scenarios'!F6</x:f>
        <x:v>615</x:v>
      </x:c>
      <x:c r="I12" s="115" t="n">
        <x:f>'Pricing Scenarios'!G6</x:f>
        <x:v>1676</x:v>
      </x:c>
      <x:c r="J12" s="115" t="n">
        <x:f>'Pricing Scenarios'!H6</x:f>
        <x:v>2962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Kate</x:v>
      </x:c>
      <x:c r="B13" s="115" t="n">
        <x:f>'3Y Plan'!B15</x:f>
        <x:v>2938.5080645161293</x:v>
      </x:c>
      <x:c r="C13" s="115" t="n">
        <x:f>'3Y Plan'!C15</x:f>
        <x:v>8815.524193548386</x:v>
      </x:c>
      <x:c r="D13" s="115" t="n">
        <x:f>'3Y Plan'!D15</x:f>
        <x:v>20569.556451612905</x:v>
      </x:c>
      <x:c r="E13" s="89"/>
      <x:c r="F13" s="99" t="str">
        <x:v>Märkus</x:v>
      </x:c>
      <x:c r="G13" s="99" t="str">
        <x:v>20% refund stsenaarium</x:v>
      </x:c>
      <x:c r="H13" s="99" t="str"/>
      <x:c r="I13" s="99" t="str"/>
      <x:c r="J13" s="99" t="str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Püsikulud</x:v>
      </x:c>
      <x:c r="B14" s="115" t="n">
        <x:f>'3Y Plan'!B17</x:f>
        <x:v>28400</x:v>
      </x:c>
      <x:c r="C14" s="115" t="n">
        <x:f>'3Y Plan'!C17</x:f>
        <x:v>77400</x:v>
      </x:c>
      <x:c r="D14" s="115" t="n">
        <x:f>'3Y Plan'!D17</x:f>
        <x:v>136800</x:v>
      </x:c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97" t="str">
        <x:v>EBITDA</x:v>
      </x:c>
      <x:c r="B15" s="120" t="n">
        <x:f>'3Y Plan'!B18</x:f>
        <x:v>-25461.49193548387</x:v>
      </x:c>
      <x:c r="C15" s="120" t="n">
        <x:f>'3Y Plan'!C18</x:f>
        <x:v>-68584.4758064516</x:v>
      </x:c>
      <x:c r="D15" s="120" t="n">
        <x:f>'3Y Plan'!D18</x:f>
        <x:v>-116230.44354838709</x:v>
      </x:c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 ht="22" customHeight="1">
      <x:c r="A18" s="12" t="str">
        <x:v>Juhtimisjäreldused</x:v>
      </x:c>
      <x:c r="B18" s="12"/>
      <x:c r="C18" s="12"/>
      <x:c r="D18" s="12"/>
      <x:c r="E18" s="12"/>
      <x:c r="F18" s="12"/>
      <x:c r="G18" s="12"/>
      <x:c r="H18" s="12"/>
      <x:c r="I18" s="12"/>
      <x:c r="J18" s="12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 ht="28" customHeight="1">
      <x:c r="A19" s="125" t="str">
        <x:v>1</x:v>
      </x:c>
      <x:c r="B19" s="126" t="str">
        <x:v>Praeguse €100 käsiraha ja 10% tasu puhul on kate umbes €6/osalus enne püsikulusid; 20% refund'i korral veidi madalam.</x:v>
      </x:c>
      <x:c r="C19" s="126" t="str"/>
      <x:c r="D19" s="126" t="str"/>
      <x:c r="E19" s="126" t="str"/>
      <x:c r="F19" s="126" t="str"/>
      <x:c r="G19" s="126" t="str"/>
      <x:c r="H19" s="126" t="str"/>
      <x:c r="I19" s="126" t="str"/>
      <x:c r="J19" s="126" t="str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 ht="28" customHeight="1">
      <x:c r="A20" s="125" t="str">
        <x:v>2</x:v>
      </x:c>
      <x:c r="B20" s="126" t="str">
        <x:v>Täiskuluga ettevõtte break-even ei ole praeguse tariifi korral piloodimahus realistlik; hinnastus või osaluste arv peab kasvama.</x:v>
      </x:c>
      <x:c r="C20" s="126" t="str"/>
      <x:c r="D20" s="126" t="str"/>
      <x:c r="E20" s="126" t="str"/>
      <x:c r="F20" s="126" t="str"/>
      <x:c r="G20" s="126" t="str"/>
      <x:c r="H20" s="126" t="str"/>
      <x:c r="I20" s="126" t="str"/>
      <x:c r="J20" s="126" t="str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 ht="28" customHeight="1">
      <x:c r="A21" s="125" t="str">
        <x:v>3</x:v>
      </x:c>
      <x:c r="B21" s="126" t="str">
        <x:v>GMV-põhine edukustasu parandab ühikumajandust järsult, sest tulu seotakse loodud majandusliku väärtusega.</x:v>
      </x:c>
      <x:c r="C21" s="126" t="str"/>
      <x:c r="D21" s="126" t="str"/>
      <x:c r="E21" s="126" t="str"/>
      <x:c r="F21" s="126" t="str"/>
      <x:c r="G21" s="126" t="str"/>
      <x:c r="H21" s="126" t="str"/>
      <x:c r="I21" s="126" t="str"/>
      <x:c r="J21" s="126" t="str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 ht="28" customHeight="1">
      <x:c r="A22" s="125" t="str">
        <x:v>4</x:v>
      </x:c>
      <x:c r="B22" s="126" t="str">
        <x:v>Kõige tähtsamad valideeritavad sisendid on tegelik keskmine teenuslepingu väärtus, refund'i määr, kordusost ja CAC.</x:v>
      </x:c>
      <x:c r="C22" s="126" t="str"/>
      <x:c r="D22" s="126" t="str"/>
      <x:c r="E22" s="126" t="str"/>
      <x:c r="F22" s="126" t="str"/>
      <x:c r="G22" s="126" t="str"/>
      <x:c r="H22" s="126" t="str"/>
      <x:c r="I22" s="126" t="str"/>
      <x:c r="J22" s="126" t="str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 ht="28" customHeight="1">
      <x:c r="A23" s="125" t="str">
        <x:v>5</x:v>
      </x:c>
      <x:c r="B23" s="126" t="str">
        <x:v>Piloodis võib kasutada praegust tariifi, kuid kommertslik hinnastus tuleks enne skaleerimist uuesti otsustada.</x:v>
      </x:c>
      <x:c r="C23" s="126" t="str"/>
      <x:c r="D23" s="126" t="str"/>
      <x:c r="E23" s="126" t="str"/>
      <x:c r="F23" s="126" t="str"/>
      <x:c r="G23" s="126" t="str"/>
      <x:c r="H23" s="126" t="str"/>
      <x:c r="I23" s="126" t="str"/>
      <x:c r="J23" s="126" t="str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6"/>
    <x:mergeCell ref="C5:D6"/>
    <x:mergeCell ref="E5:F6"/>
    <x:mergeCell ref="G5:H6"/>
    <x:mergeCell ref="I5:J6"/>
    <x:mergeCell ref="A8:J8"/>
    <x:mergeCell ref="F8:J8"/>
    <x:mergeCell ref="A18:J18"/>
    <x:mergeCell ref="B19:J19"/>
    <x:mergeCell ref="B20:J20"/>
    <x:mergeCell ref="B21:J21"/>
    <x:mergeCell ref="B22:J22"/>
    <x:mergeCell ref="B23:J23"/>
  </x:mergeCells>
  <x:pageMargins left="0.7" right="0.7" top="0.75" bottom="0.75" header="0.3" footer="0.3"/>
  <x:drawing xmlns:r="http://schemas.openxmlformats.org/officeDocument/2006/relationships" r:id="R9f0f04f90585460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42" hidden="0" customWidth="1"/>
    <x:col min="4" max="4" width="42" hidden="0" customWidth="1"/>
  </x:cols>
  <x:sheetData>
    <x:row r="1">
      <x:c r="A1" s="88" t="str">
        <x:v>ALLIKAD JA MUDELI PIIRANGUD</x:v>
      </x:c>
      <x:c r="B1" s="88"/>
      <x:c r="C1" s="88"/>
      <x:c r="D1" s="88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22" t="str">
        <x:v>Allikas</x:v>
      </x:c>
      <x:c r="B3" s="22" t="str">
        <x:v>URL / viide</x:v>
      </x:c>
      <x:c r="C3" s="22" t="str">
        <x:v>Kasutus mudelis</x:v>
      </x:c>
      <x:c r="D3" s="22" t="str">
        <x:v>Märkus</x:v>
      </x:c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126" t="str">
        <x:v>Kasutaja lisatud: Deposit-fee scenarios - Uhishange</x:v>
      </x:c>
      <x:c r="B4" s="126" t="str">
        <x:v>turn1file0, read 2026-10-10</x:v>
      </x:c>
      <x:c r="C4" s="126" t="str">
        <x:v>Kehtiv 10% käsiraha tasu; €100 näide; 571 osalust €300/kuu kulubaasile</x:v>
      </x:c>
      <x:c r="D4" s="126" t="str">
        <x:v>Peamine lähteallikas</x:v>
      </x:c>
      <x:c r="E4" s="89"/>
      <x:c r="F4" s="89"/>
      <x:c r="G4" s="89"/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126" t="str">
        <x:v>Stripe Estonia pricing</x:v>
      </x:c>
      <x:c r="B5" s="126" t="str">
        <x:v>https://stripe.com/en-ee/pricing</x:v>
      </x:c>
      <x:c r="C5" s="126" t="str">
        <x:v>1.5% + €0.25 standard EEA capture</x:v>
      </x:c>
      <x:c r="D5" s="126" t="str">
        <x:v>Tegelik kaartide mix võib kallim olla</x:v>
      </x:c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126" t="str">
        <x:v>Stripe Connect</x:v>
      </x:c>
      <x:c r="B6" s="126" t="str">
        <x:v>https://stripe.com/en-ee/connect/pricing</x:v>
      </x:c>
      <x:c r="C6" s="126" t="str">
        <x:v>Täiendavaid marketplace tasusid EI ole baasplaani lisatud</x:v>
      </x:c>
      <x:c r="D6" s="126" t="str">
        <x:v>Vajab valitud integratsiooni järgi uuendamist</x:v>
      </x:c>
      <x:c r="E6" s="89"/>
      <x:c r="F6" s="89"/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126" t="str">
        <x:v>Stripe refunds</x:v>
      </x:c>
      <x:c r="B7" s="126" t="str">
        <x:v>https://support.stripe.com/questions/understanding-fees-for-refunded-payments</x:v>
      </x:c>
      <x:c r="C7" s="126" t="str">
        <x:v>Capture-kulu ei tagastata refund'i korral</x:v>
      </x:c>
      <x:c r="D7" s="126" t="str">
        <x:v>20% refund on stsenaarium, mitte mõõdetud fakt</x:v>
      </x:c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126" t="str">
        <x:v>EMTA VAT</x:v>
      </x:c>
      <x:c r="B8" s="126" t="str">
        <x:v>https://www.emta.ee/en/business-client/taxes-and-payment/value-added-tax</x:v>
      </x:c>
      <x:c r="C8" s="126" t="str">
        <x:v>24% standardne KM</x:v>
      </x:c>
      <x:c r="D8" s="126" t="str">
        <x:v>Mudel ei otsusta ettevõtte KMKR staatust</x:v>
      </x:c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126" t="str">
        <x:v>Hetzner reference</x:v>
      </x:c>
      <x:c r="B9" s="126" t="str">
        <x:v>https://docs.hetzner.com/general/infrastructure-and-availability/price-adjustment/</x:v>
      </x:c>
      <x:c r="C9" s="126" t="str">
        <x:v>Hosting-kulu orientiir</x:v>
      </x:c>
      <x:c r="D9" s="126" t="str">
        <x:v>Mudeli A1-A3 hosting on konservatiivsem juhtimiseeldus</x:v>
      </x:c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126" t="str">
        <x:v>Ärianalüüsi varasem GMV loogika</x:v>
      </x:c>
      <x:c r="B10" s="126" t="str">
        <x:v>Ühishange ärianalüüs 2026-10-09</x:v>
      </x:c>
      <x:c r="C10" s="126" t="str">
        <x:v>GMV-põhiste hinnastusvariantide võrdlus</x:v>
      </x:c>
      <x:c r="D10" s="126" t="str">
        <x:v>Praegune ADR ei kasuta GMV tasu</x:v>
      </x:c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126" t="str">
        <x:v>Mudeli piirang</x:v>
      </x:c>
      <x:c r="B11" s="126" t="str">
        <x:v>—</x:v>
      </x:c>
      <x:c r="C11" s="126" t="str">
        <x:v>Mahud ja enamik tegevuskulusid on planeerimiseeldused</x:v>
      </x:c>
      <x:c r="D11" s="126" t="str">
        <x:v>Asendada päris piloodi andmetega kohe, kui need tekivad</x:v>
      </x:c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</x:sheetData>
  <x:mergeCells>
    <x:mergeCell ref="A1:D1"/>
  </x:mergeCells>
  <x:pageMargins left="0.7" right="0.7" top="0.75" bottom="0.75" header="0.3" footer="0.3"/>
</x:worksheet>
</file>